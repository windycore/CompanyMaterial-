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7815"/>
  </bookViews>
  <sheets>
    <sheet name="基础数据" sheetId="1" r:id="rId1"/>
    <sheet name="2017年已完成" sheetId="6" r:id="rId2"/>
    <sheet name="自动生成数据表" sheetId="3" r:id="rId3"/>
    <sheet name="查询报表-梁" sheetId="4" r:id="rId4"/>
    <sheet name="原始计划项目存档" sheetId="7" r:id="rId5"/>
    <sheet name="项目基础资料-梁" sheetId="5" state="hidden" r:id="rId6"/>
  </sheets>
  <externalReferences>
    <externalReference r:id="rId7"/>
  </externalReferences>
  <definedNames>
    <definedName name="_xlnm._FilterDatabase" localSheetId="0" hidden="1">基础数据!$A$1:$Y$93</definedName>
  </definedNames>
  <calcPr calcId="152511"/>
</workbook>
</file>

<file path=xl/calcChain.xml><?xml version="1.0" encoding="utf-8"?>
<calcChain xmlns="http://schemas.openxmlformats.org/spreadsheetml/2006/main">
  <c r="O31" i="1" l="1"/>
  <c r="O83" i="1" l="1"/>
  <c r="O65" i="1" l="1"/>
  <c r="T25" i="7" l="1"/>
  <c r="S25" i="7"/>
  <c r="R25" i="7"/>
  <c r="Q25" i="7"/>
  <c r="P25" i="7"/>
  <c r="O25" i="7"/>
  <c r="N25" i="7"/>
  <c r="M25" i="7"/>
  <c r="L25" i="7"/>
  <c r="T22" i="7"/>
  <c r="S22" i="7"/>
  <c r="R22" i="7"/>
  <c r="Q22" i="7"/>
  <c r="P22" i="7"/>
  <c r="O22" i="7"/>
  <c r="N22" i="7"/>
  <c r="M22" i="7"/>
  <c r="L22" i="7"/>
  <c r="J22" i="7"/>
  <c r="T19" i="7"/>
  <c r="S19" i="7"/>
  <c r="R19" i="7"/>
  <c r="Q19" i="7"/>
  <c r="O19" i="7"/>
  <c r="N19" i="7"/>
  <c r="M19" i="7"/>
  <c r="T16" i="7"/>
  <c r="S16" i="7"/>
  <c r="R16" i="7"/>
  <c r="Q16" i="7"/>
  <c r="N16" i="7"/>
  <c r="M16" i="7"/>
  <c r="T13" i="7"/>
  <c r="S13" i="7"/>
  <c r="R13" i="7"/>
  <c r="Q13" i="7"/>
  <c r="N13" i="7"/>
  <c r="M13" i="7"/>
  <c r="T10" i="7"/>
  <c r="S10" i="7"/>
  <c r="R10" i="7"/>
  <c r="Q10" i="7"/>
  <c r="O10" i="7"/>
  <c r="N10" i="7"/>
  <c r="M10" i="7"/>
  <c r="T7" i="7"/>
  <c r="S7" i="7"/>
  <c r="R7" i="7"/>
  <c r="Q7" i="7"/>
  <c r="N7" i="7"/>
  <c r="M7" i="7"/>
  <c r="P4" i="7"/>
  <c r="N4" i="7"/>
  <c r="M4" i="7"/>
  <c r="Q93" i="1" l="1"/>
  <c r="O93" i="1"/>
  <c r="N93" i="1"/>
  <c r="M93" i="1"/>
  <c r="L93" i="1"/>
  <c r="J93" i="1"/>
  <c r="I93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Q89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S83" i="1"/>
  <c r="R83" i="1"/>
  <c r="Q83" i="1"/>
  <c r="P83" i="1"/>
  <c r="N83" i="1"/>
  <c r="M83" i="1"/>
  <c r="L83" i="1"/>
  <c r="S81" i="1"/>
  <c r="R81" i="1"/>
  <c r="Q81" i="1"/>
  <c r="P81" i="1"/>
  <c r="N81" i="1"/>
  <c r="M81" i="1"/>
  <c r="L81" i="1"/>
  <c r="T79" i="1"/>
  <c r="S79" i="1"/>
  <c r="R79" i="1"/>
  <c r="Q79" i="1"/>
  <c r="P79" i="1"/>
  <c r="O79" i="1"/>
  <c r="N79" i="1"/>
  <c r="M79" i="1"/>
  <c r="L79" i="1"/>
  <c r="T77" i="1"/>
  <c r="S77" i="1"/>
  <c r="R77" i="1"/>
  <c r="Q77" i="1"/>
  <c r="P77" i="1"/>
  <c r="O77" i="1"/>
  <c r="N77" i="1"/>
  <c r="M77" i="1"/>
  <c r="L77" i="1"/>
  <c r="T75" i="1"/>
  <c r="S75" i="1"/>
  <c r="R75" i="1"/>
  <c r="Q75" i="1"/>
  <c r="P75" i="1"/>
  <c r="N75" i="1"/>
  <c r="M75" i="1"/>
  <c r="L75" i="1"/>
  <c r="T73" i="1"/>
  <c r="S73" i="1"/>
  <c r="R73" i="1"/>
  <c r="Q73" i="1"/>
  <c r="P73" i="1"/>
  <c r="N73" i="1"/>
  <c r="M73" i="1"/>
  <c r="L73" i="1"/>
  <c r="T71" i="1"/>
  <c r="S71" i="1"/>
  <c r="R71" i="1"/>
  <c r="Q71" i="1"/>
  <c r="P71" i="1"/>
  <c r="O71" i="1"/>
  <c r="N71" i="1"/>
  <c r="M71" i="1"/>
  <c r="T69" i="1"/>
  <c r="S69" i="1"/>
  <c r="R69" i="1"/>
  <c r="Q69" i="1"/>
  <c r="P69" i="1"/>
  <c r="O69" i="1"/>
  <c r="N69" i="1"/>
  <c r="M69" i="1"/>
  <c r="T67" i="1"/>
  <c r="S67" i="1"/>
  <c r="R67" i="1"/>
  <c r="Q67" i="1"/>
  <c r="P67" i="1"/>
  <c r="O67" i="1"/>
  <c r="N67" i="1"/>
  <c r="M67" i="1"/>
  <c r="S65" i="1"/>
  <c r="R65" i="1"/>
  <c r="Q65" i="1"/>
  <c r="N61" i="1"/>
  <c r="M61" i="1"/>
  <c r="T59" i="1"/>
  <c r="S59" i="1"/>
  <c r="R59" i="1"/>
  <c r="Q59" i="1"/>
  <c r="N59" i="1"/>
  <c r="M59" i="1"/>
  <c r="T57" i="1"/>
  <c r="S57" i="1"/>
  <c r="R57" i="1"/>
  <c r="N57" i="1"/>
  <c r="M57" i="1"/>
  <c r="T55" i="1"/>
  <c r="S55" i="1"/>
  <c r="R55" i="1"/>
  <c r="N55" i="1"/>
  <c r="M55" i="1"/>
  <c r="T53" i="1"/>
  <c r="S53" i="1"/>
  <c r="R53" i="1"/>
  <c r="N53" i="1"/>
  <c r="M53" i="1"/>
  <c r="T51" i="1"/>
  <c r="S51" i="1"/>
  <c r="R51" i="1"/>
  <c r="N51" i="1"/>
  <c r="M51" i="1"/>
  <c r="T49" i="1"/>
  <c r="S49" i="1"/>
  <c r="R49" i="1"/>
  <c r="N49" i="1"/>
  <c r="M49" i="1"/>
  <c r="T47" i="1"/>
  <c r="S47" i="1"/>
  <c r="R47" i="1"/>
  <c r="Q47" i="1"/>
  <c r="O47" i="1"/>
  <c r="N47" i="1"/>
  <c r="M47" i="1"/>
  <c r="T45" i="1"/>
  <c r="S45" i="1"/>
  <c r="R45" i="1"/>
  <c r="N45" i="1"/>
  <c r="M45" i="1"/>
  <c r="R43" i="1"/>
  <c r="Q43" i="1"/>
  <c r="N43" i="1"/>
  <c r="M43" i="1"/>
  <c r="N41" i="1"/>
  <c r="M41" i="1"/>
  <c r="T39" i="1"/>
  <c r="S39" i="1"/>
  <c r="R39" i="1"/>
  <c r="N39" i="1"/>
  <c r="M39" i="1"/>
  <c r="T37" i="1"/>
  <c r="S37" i="1"/>
  <c r="R37" i="1"/>
  <c r="N37" i="1"/>
  <c r="M37" i="1"/>
  <c r="T35" i="1"/>
  <c r="N35" i="1"/>
  <c r="M35" i="1"/>
  <c r="T33" i="1"/>
  <c r="S33" i="1"/>
  <c r="R33" i="1"/>
  <c r="Q33" i="1"/>
  <c r="P33" i="1"/>
  <c r="N33" i="1"/>
  <c r="M33" i="1"/>
  <c r="T31" i="1"/>
  <c r="S31" i="1"/>
  <c r="R31" i="1"/>
  <c r="Q31" i="1"/>
  <c r="P31" i="1"/>
  <c r="N31" i="1"/>
  <c r="M31" i="1"/>
  <c r="T29" i="1"/>
  <c r="S29" i="1"/>
  <c r="R29" i="1"/>
  <c r="Q29" i="1"/>
  <c r="P29" i="1"/>
  <c r="N29" i="1"/>
  <c r="M29" i="1"/>
  <c r="T27" i="1"/>
  <c r="S27" i="1"/>
  <c r="R27" i="1"/>
  <c r="N27" i="1"/>
  <c r="M27" i="1"/>
  <c r="T25" i="1"/>
  <c r="S25" i="1"/>
  <c r="R25" i="1"/>
  <c r="N25" i="1"/>
  <c r="M25" i="1"/>
  <c r="T23" i="1"/>
  <c r="S23" i="1"/>
  <c r="R23" i="1"/>
  <c r="N23" i="1"/>
  <c r="M23" i="1"/>
  <c r="T21" i="1"/>
  <c r="S21" i="1"/>
  <c r="R21" i="1"/>
  <c r="Q21" i="1"/>
  <c r="P21" i="1"/>
  <c r="O21" i="1"/>
  <c r="N21" i="1"/>
  <c r="M21" i="1"/>
  <c r="T19" i="1"/>
  <c r="S19" i="1"/>
  <c r="R19" i="1"/>
  <c r="Q19" i="1"/>
  <c r="O19" i="1"/>
  <c r="N19" i="1"/>
  <c r="M19" i="1"/>
  <c r="J19" i="1"/>
  <c r="T17" i="1"/>
  <c r="N17" i="1"/>
  <c r="M17" i="1"/>
  <c r="T15" i="1"/>
  <c r="S15" i="1"/>
  <c r="R15" i="1"/>
  <c r="Q15" i="1"/>
  <c r="O15" i="1"/>
  <c r="N15" i="1"/>
  <c r="M15" i="1"/>
  <c r="T13" i="1"/>
  <c r="N13" i="1"/>
  <c r="M13" i="1"/>
  <c r="T11" i="1"/>
  <c r="S11" i="1"/>
  <c r="R11" i="1"/>
  <c r="Q11" i="1"/>
  <c r="O11" i="1"/>
  <c r="N11" i="1"/>
  <c r="M11" i="1"/>
  <c r="T9" i="1"/>
  <c r="S9" i="1"/>
  <c r="R9" i="1"/>
  <c r="Q9" i="1"/>
  <c r="N9" i="1"/>
  <c r="M9" i="1"/>
  <c r="T7" i="1"/>
  <c r="S7" i="1"/>
  <c r="R7" i="1"/>
  <c r="Q7" i="1"/>
  <c r="N7" i="1"/>
  <c r="M7" i="1"/>
  <c r="T5" i="1"/>
  <c r="T3" i="1"/>
  <c r="K112" i="6" l="1"/>
  <c r="L112" i="6"/>
  <c r="L57" i="6"/>
  <c r="K57" i="6"/>
  <c r="M5" i="4" l="1"/>
  <c r="L5" i="4"/>
  <c r="K5" i="4"/>
  <c r="J5" i="4"/>
  <c r="I5" i="4"/>
  <c r="H5" i="4"/>
  <c r="G5" i="4"/>
  <c r="F5" i="4"/>
  <c r="E5" i="4"/>
  <c r="D5" i="4"/>
  <c r="C5" i="4"/>
  <c r="B6" i="4"/>
  <c r="B5" i="4"/>
  <c r="F14" i="5"/>
  <c r="D6" i="4" l="1"/>
  <c r="C6" i="4"/>
  <c r="I2" i="5" s="1"/>
  <c r="L2" i="5" s="1"/>
  <c r="E6" i="4"/>
  <c r="I3" i="5" s="1"/>
  <c r="L3" i="5" s="1"/>
  <c r="F6" i="4"/>
  <c r="H6" i="4"/>
  <c r="G6" i="4"/>
  <c r="I4" i="5" s="1"/>
  <c r="L4" i="5" s="1"/>
  <c r="J6" i="4"/>
  <c r="I6" i="4"/>
  <c r="L6" i="4"/>
  <c r="M6" i="4" s="1"/>
  <c r="K6" i="4"/>
  <c r="H3" i="5"/>
  <c r="K3" i="5" s="1"/>
  <c r="H7" i="5"/>
  <c r="K7" i="5" s="1"/>
  <c r="H6" i="5"/>
  <c r="K6" i="5" s="1"/>
  <c r="H5" i="5"/>
  <c r="K5" i="5" s="1"/>
  <c r="H4" i="5"/>
  <c r="K4" i="5" s="1"/>
  <c r="H2" i="5"/>
  <c r="K2" i="5" s="1"/>
  <c r="I6" i="5" l="1"/>
  <c r="L6" i="5" s="1"/>
  <c r="I5" i="5"/>
  <c r="L5" i="5" s="1"/>
  <c r="I7" i="5" l="1"/>
  <c r="L7" i="5" s="1"/>
</calcChain>
</file>

<file path=xl/sharedStrings.xml><?xml version="1.0" encoding="utf-8"?>
<sst xmlns="http://schemas.openxmlformats.org/spreadsheetml/2006/main" count="1399" uniqueCount="374">
  <si>
    <t>序号</t>
    <phoneticPr fontId="1" type="noConversion"/>
  </si>
  <si>
    <t>项目名称</t>
    <phoneticPr fontId="1" type="noConversion"/>
  </si>
  <si>
    <t>原理图完成</t>
    <phoneticPr fontId="1" type="noConversion"/>
  </si>
  <si>
    <t>包材图纸</t>
    <phoneticPr fontId="1" type="noConversion"/>
  </si>
  <si>
    <t>包材样品</t>
    <phoneticPr fontId="1" type="noConversion"/>
  </si>
  <si>
    <t>风险点</t>
    <phoneticPr fontId="1" type="noConversion"/>
  </si>
  <si>
    <t>资料移交</t>
    <phoneticPr fontId="1" type="noConversion"/>
  </si>
  <si>
    <t>移交DQM</t>
    <phoneticPr fontId="1" type="noConversion"/>
  </si>
  <si>
    <t>外销验收</t>
    <phoneticPr fontId="1" type="noConversion"/>
  </si>
  <si>
    <t>试产完成</t>
    <phoneticPr fontId="1" type="noConversion"/>
  </si>
  <si>
    <t>项目类型</t>
    <phoneticPr fontId="1" type="noConversion"/>
  </si>
  <si>
    <t>立项发布</t>
    <phoneticPr fontId="1" type="noConversion"/>
  </si>
  <si>
    <t>系数</t>
    <phoneticPr fontId="1" type="noConversion"/>
  </si>
  <si>
    <t>研发样机</t>
    <phoneticPr fontId="1" type="noConversion"/>
  </si>
  <si>
    <t>样机</t>
  </si>
  <si>
    <t>备料BOM</t>
    <phoneticPr fontId="1" type="noConversion"/>
  </si>
  <si>
    <t>责任人</t>
    <phoneticPr fontId="1" type="noConversion"/>
  </si>
  <si>
    <t>计划</t>
    <phoneticPr fontId="1" type="noConversion"/>
  </si>
  <si>
    <t>时间类别中“计划”</t>
    <phoneticPr fontId="1" type="noConversion"/>
  </si>
  <si>
    <t>时间类别中“实际”</t>
    <phoneticPr fontId="1" type="noConversion"/>
  </si>
  <si>
    <t>说明：</t>
    <phoneticPr fontId="1" type="noConversion"/>
  </si>
  <si>
    <t>时间类别“计划”自动生成柱形图：</t>
    <phoneticPr fontId="1" type="noConversion"/>
  </si>
  <si>
    <t>1.设计开发</t>
    <phoneticPr fontId="1" type="noConversion"/>
  </si>
  <si>
    <t>立项发布到layout完成</t>
    <phoneticPr fontId="1" type="noConversion"/>
  </si>
  <si>
    <t>2.采购打样</t>
    <phoneticPr fontId="1" type="noConversion"/>
  </si>
  <si>
    <t>PCBA样品到移交DQM</t>
    <phoneticPr fontId="1" type="noConversion"/>
  </si>
  <si>
    <t>3.调试</t>
    <phoneticPr fontId="1" type="noConversion"/>
  </si>
  <si>
    <t>4.测试</t>
    <phoneticPr fontId="1" type="noConversion"/>
  </si>
  <si>
    <t>移交DQM到研发样机</t>
    <phoneticPr fontId="1" type="noConversion"/>
  </si>
  <si>
    <t>5.样机</t>
    <phoneticPr fontId="1" type="noConversion"/>
  </si>
  <si>
    <t>研发样机到外销验收</t>
    <phoneticPr fontId="1" type="noConversion"/>
  </si>
  <si>
    <t>外销验收到资料移交</t>
    <phoneticPr fontId="1" type="noConversion"/>
  </si>
  <si>
    <t>6.资料移交</t>
    <phoneticPr fontId="1" type="noConversion"/>
  </si>
  <si>
    <t>时间类别“实际”自动生成柱形图：</t>
    <phoneticPr fontId="1" type="noConversion"/>
  </si>
  <si>
    <t>6种类别的数据生成方式跟“一样”，只是取值于基础数据里面“实际”那一行的数据</t>
    <phoneticPr fontId="1" type="noConversion"/>
  </si>
  <si>
    <t>如果最近的该数据为空，证明没完成或者延期，只显示从开始时间到当前日期的实际时间：</t>
    <phoneticPr fontId="1" type="noConversion"/>
  </si>
  <si>
    <t>比如EXT-4K300A-MF-41-HBTLS项目的“测试”自动图形计算是today-10月10日，移交样机不需要有图形（只是最近的数据为空通过这样计算，刚才的项目资料移交就不需要了，因为前一个最近的通过today使用了）</t>
    <phoneticPr fontId="1" type="noConversion"/>
  </si>
  <si>
    <t>麻烦梁工做下基础数据里面的7个项目的情况，再看看效果如何？</t>
    <phoneticPr fontId="1" type="noConversion"/>
  </si>
  <si>
    <t>查询项目：</t>
    <phoneticPr fontId="6" type="noConversion"/>
  </si>
  <si>
    <t>起始</t>
    <phoneticPr fontId="6" type="noConversion"/>
  </si>
  <si>
    <t>结束</t>
    <phoneticPr fontId="6" type="noConversion"/>
  </si>
  <si>
    <t>实际</t>
    <phoneticPr fontId="1" type="noConversion"/>
  </si>
  <si>
    <t>设计开发</t>
    <phoneticPr fontId="6" type="noConversion"/>
  </si>
  <si>
    <t>采购打样</t>
    <phoneticPr fontId="6" type="noConversion"/>
  </si>
  <si>
    <t>调试</t>
    <phoneticPr fontId="6" type="noConversion"/>
  </si>
  <si>
    <t>测试</t>
    <phoneticPr fontId="6" type="noConversion"/>
  </si>
  <si>
    <t>样机</t>
    <phoneticPr fontId="6" type="noConversion"/>
  </si>
  <si>
    <t>资料移交</t>
    <phoneticPr fontId="6" type="noConversion"/>
  </si>
  <si>
    <t>结束-计划</t>
    <phoneticPr fontId="6" type="noConversion"/>
  </si>
  <si>
    <t>结束-实际</t>
    <phoneticPr fontId="6" type="noConversion"/>
  </si>
  <si>
    <t>备注：红色表示超期，红色段越长，实际超级越长</t>
    <phoneticPr fontId="6" type="noConversion"/>
  </si>
  <si>
    <t>结束-计划</t>
  </si>
  <si>
    <t>结束-实际</t>
  </si>
  <si>
    <t>设计开发</t>
  </si>
  <si>
    <t>采购打样</t>
  </si>
  <si>
    <t>调试</t>
  </si>
  <si>
    <t>测试</t>
  </si>
  <si>
    <t>资料移交</t>
  </si>
  <si>
    <t>EXT-UHDV-WP-HBTLS-TX</t>
  </si>
  <si>
    <t>NDS-T12-SPLT</t>
  </si>
  <si>
    <t>NDS-T14-SPLT</t>
  </si>
  <si>
    <t>EXT-UHDV-HBTLS-TX</t>
  </si>
  <si>
    <t>EXT-UHDA-HBTL-RX</t>
  </si>
  <si>
    <t>EXT-4K300A-MF-41-HBTLS</t>
  </si>
  <si>
    <t>SCU41T-CODEC</t>
  </si>
  <si>
    <t>SM62T</t>
  </si>
  <si>
    <t>试产</t>
  </si>
  <si>
    <t>FOUH308</t>
  </si>
  <si>
    <t>BYOD-W</t>
  </si>
  <si>
    <t>MP44</t>
  </si>
  <si>
    <t>MP88</t>
  </si>
  <si>
    <t>TL-TP100-HDC2</t>
  </si>
  <si>
    <t>ODM</t>
  </si>
  <si>
    <t>CUH-STH</t>
  </si>
  <si>
    <t>CUH-HTS</t>
  </si>
  <si>
    <t>SUH141T</t>
  </si>
  <si>
    <t>TL-SMUSB-01</t>
  </si>
  <si>
    <t>SY-HDBT-131EC-SET</t>
  </si>
  <si>
    <t>SY-MUBT-44EC-SET</t>
  </si>
  <si>
    <t>SY-MUBT-88EC-SET</t>
  </si>
  <si>
    <t>TL-INCT-12</t>
  </si>
  <si>
    <t>TL-INCT-13</t>
  </si>
  <si>
    <t>TL-SMG-PT_SMG-2B_SMG-4C</t>
  </si>
  <si>
    <t>BYOD-HUB-UT</t>
  </si>
  <si>
    <t>MXF-1204-4K</t>
  </si>
  <si>
    <t>MXF-2408-4K</t>
  </si>
  <si>
    <t>EVMX4K44</t>
  </si>
  <si>
    <t>NDS-IS41</t>
  </si>
  <si>
    <t>NDS-PROTON 400</t>
  </si>
  <si>
    <t>HXL-44</t>
  </si>
  <si>
    <t>HXL-88</t>
  </si>
  <si>
    <t>K12 Platform GUI</t>
  </si>
  <si>
    <t>NDS-VB4</t>
  </si>
  <si>
    <t>NDS-VB8</t>
  </si>
  <si>
    <t>NDS-VB12</t>
  </si>
  <si>
    <t>INT-HDX100-RXWP</t>
  </si>
  <si>
    <t>KD-SX444WP</t>
  </si>
  <si>
    <t>SSM42T</t>
  </si>
  <si>
    <t>DL-S41-H2</t>
  </si>
  <si>
    <t>LR-EX1</t>
  </si>
  <si>
    <t>LR-DA14</t>
  </si>
  <si>
    <t>SM62T</t>
    <phoneticPr fontId="1" type="noConversion"/>
  </si>
  <si>
    <t>自研</t>
    <phoneticPr fontId="1" type="noConversion"/>
  </si>
  <si>
    <t>李建平</t>
    <phoneticPr fontId="1" type="noConversion"/>
  </si>
  <si>
    <t>\</t>
    <phoneticPr fontId="1" type="noConversion"/>
  </si>
  <si>
    <t>SW:林峰
HW:邸兴龙
MD:陈上富</t>
    <phoneticPr fontId="1" type="noConversion"/>
  </si>
  <si>
    <t>FOUH308</t>
    <phoneticPr fontId="1" type="noConversion"/>
  </si>
  <si>
    <t>李稳</t>
    <phoneticPr fontId="1" type="noConversion"/>
  </si>
  <si>
    <t>外包
MD:叶黎明</t>
    <phoneticPr fontId="1" type="noConversion"/>
  </si>
  <si>
    <t>BYOD-W</t>
    <phoneticPr fontId="1" type="noConversion"/>
  </si>
  <si>
    <t>黄有君</t>
    <phoneticPr fontId="1" type="noConversion"/>
  </si>
  <si>
    <t>HW:尹卫林
SW:莫光励
MD:叶黎明</t>
    <phoneticPr fontId="1" type="noConversion"/>
  </si>
  <si>
    <t>MP44</t>
    <phoneticPr fontId="1" type="noConversion"/>
  </si>
  <si>
    <t>HW:陈绵哲
SW:林峰
MD:叶黎明</t>
    <phoneticPr fontId="1" type="noConversion"/>
  </si>
  <si>
    <t>MP88</t>
    <phoneticPr fontId="1" type="noConversion"/>
  </si>
  <si>
    <t>HW:胡志朋
MD:陈上富</t>
    <phoneticPr fontId="1" type="noConversion"/>
  </si>
  <si>
    <t>HW:李保玉
SW:徐秀莉
MD:叶黎明</t>
    <phoneticPr fontId="1" type="noConversion"/>
  </si>
  <si>
    <t>CUH-HTS</t>
    <phoneticPr fontId="1" type="noConversion"/>
  </si>
  <si>
    <t>SUH141T</t>
    <phoneticPr fontId="1" type="noConversion"/>
  </si>
  <si>
    <t>HW:严红时
SW:蒋立江
MD:陈上富</t>
    <phoneticPr fontId="1" type="noConversion"/>
  </si>
  <si>
    <t>TL-SMUSB-01</t>
    <phoneticPr fontId="1" type="noConversion"/>
  </si>
  <si>
    <t>ODM</t>
    <phoneticPr fontId="1" type="noConversion"/>
  </si>
  <si>
    <t>软件没资源搞，无开始时间</t>
    <phoneticPr fontId="1" type="noConversion"/>
  </si>
  <si>
    <t>HW:邸兴龙
SW:高卫东
MD:叶黎明</t>
    <phoneticPr fontId="1" type="noConversion"/>
  </si>
  <si>
    <t>SY-HDBT-131EC-SET</t>
    <phoneticPr fontId="1" type="noConversion"/>
  </si>
  <si>
    <t>HW:胡志朋
SW:蒋立江
MD:陈上富</t>
    <phoneticPr fontId="1" type="noConversion"/>
  </si>
  <si>
    <t>HW:韦灿文
SW:段镇
MD:叶黎明</t>
    <phoneticPr fontId="1" type="noConversion"/>
  </si>
  <si>
    <t>SY-MUBT-88EC-SET</t>
    <phoneticPr fontId="1" type="noConversion"/>
  </si>
  <si>
    <t>TL-INCT-12</t>
    <phoneticPr fontId="1" type="noConversion"/>
  </si>
  <si>
    <t>HW:严红时
SW:于亚飞
MD:叶黎明</t>
    <phoneticPr fontId="1" type="noConversion"/>
  </si>
  <si>
    <t>TL-INCT-13</t>
    <phoneticPr fontId="1" type="noConversion"/>
  </si>
  <si>
    <t>TL-SMG-PT_SMG-2B_SMG-4C</t>
    <phoneticPr fontId="1" type="noConversion"/>
  </si>
  <si>
    <t>HW:严红时
SW:林峰
MD:叶黎明</t>
    <phoneticPr fontId="1" type="noConversion"/>
  </si>
  <si>
    <t>BYOD-HUB-UT</t>
    <phoneticPr fontId="1" type="noConversion"/>
  </si>
  <si>
    <t>HW:陈绵哲
SW:莫光励
MD:陈上富</t>
    <phoneticPr fontId="1" type="noConversion"/>
  </si>
  <si>
    <t>NDS-T12-SPLT</t>
    <phoneticPr fontId="1" type="noConversion"/>
  </si>
  <si>
    <t>HW:尹卫林
SW:蒋立江
MD:叶黎明</t>
    <phoneticPr fontId="1" type="noConversion"/>
  </si>
  <si>
    <t>NDS-T14-SPLT</t>
    <phoneticPr fontId="1" type="noConversion"/>
  </si>
  <si>
    <t>MXF-1204-4K</t>
    <phoneticPr fontId="1" type="noConversion"/>
  </si>
  <si>
    <t>\</t>
    <phoneticPr fontId="1" type="noConversion"/>
  </si>
  <si>
    <t>HW:韦灿文
SW:陈志立
MD:叶黎明</t>
    <phoneticPr fontId="1" type="noConversion"/>
  </si>
  <si>
    <t>MXF-2408-4K</t>
    <phoneticPr fontId="1" type="noConversion"/>
  </si>
  <si>
    <t>EVMX4K44</t>
    <phoneticPr fontId="1" type="noConversion"/>
  </si>
  <si>
    <t>HW:韦灿文
SW:黄有君
MD:叶黎明</t>
    <phoneticPr fontId="1" type="noConversion"/>
  </si>
  <si>
    <t>NDS-IS41</t>
    <phoneticPr fontId="1" type="noConversion"/>
  </si>
  <si>
    <t>HW:邸兴龙
SW:万超群
MD:叶黎明</t>
    <phoneticPr fontId="1" type="noConversion"/>
  </si>
  <si>
    <t>NDS-PROTON 400</t>
    <phoneticPr fontId="1" type="noConversion"/>
  </si>
  <si>
    <t>EXT-UHDV-HBTLS-TX</t>
    <phoneticPr fontId="1" type="noConversion"/>
  </si>
  <si>
    <t>王凡</t>
    <phoneticPr fontId="1" type="noConversion"/>
  </si>
  <si>
    <t>HW:严红时
SW:王凡
MD:叶黎明</t>
    <phoneticPr fontId="1" type="noConversion"/>
  </si>
  <si>
    <t>EXT-UHDV-WP-HBTLS-TX</t>
    <phoneticPr fontId="1" type="noConversion"/>
  </si>
  <si>
    <t>HW:严红时
SW:莫光励
MD:叶黎明</t>
    <phoneticPr fontId="1" type="noConversion"/>
  </si>
  <si>
    <t>EXT-UHDA-HBTL-RX</t>
    <phoneticPr fontId="1" type="noConversion"/>
  </si>
  <si>
    <t>EXT-4K300A-MF-41-HBTLS</t>
    <phoneticPr fontId="1" type="noConversion"/>
  </si>
  <si>
    <t>HW:唐峰
SW:莫光励
MD:叶黎明</t>
    <phoneticPr fontId="1" type="noConversion"/>
  </si>
  <si>
    <t>HXL-44</t>
    <phoneticPr fontId="1" type="noConversion"/>
  </si>
  <si>
    <t>HW:叶黎明
SW:客户
MD:叶黎明</t>
    <phoneticPr fontId="1" type="noConversion"/>
  </si>
  <si>
    <t>HXL-88</t>
    <phoneticPr fontId="1" type="noConversion"/>
  </si>
  <si>
    <t>SW:江东敏
MD:叶黎明</t>
    <phoneticPr fontId="1" type="noConversion"/>
  </si>
  <si>
    <t>NDS-VB4</t>
    <phoneticPr fontId="1" type="noConversion"/>
  </si>
  <si>
    <t>NDS-VB8</t>
    <phoneticPr fontId="1" type="noConversion"/>
  </si>
  <si>
    <t>NDS-VB12</t>
    <phoneticPr fontId="1" type="noConversion"/>
  </si>
  <si>
    <t>HW:胡志朋
SW:龚俊平
MD:陈上富</t>
    <phoneticPr fontId="1" type="noConversion"/>
  </si>
  <si>
    <t>SSM42T</t>
    <phoneticPr fontId="1" type="noConversion"/>
  </si>
  <si>
    <t>HW:唐峰
SW:林峰
MD:陈上富</t>
    <phoneticPr fontId="1" type="noConversion"/>
  </si>
  <si>
    <t>HW:陈绵哲
SW:万超群
MD:陈上富</t>
    <phoneticPr fontId="1" type="noConversion"/>
  </si>
  <si>
    <t>HW:严红时
MD:陈上富</t>
    <phoneticPr fontId="1" type="noConversion"/>
  </si>
  <si>
    <t>HW:邸兴龙
SW:黄有君
MD:陈上富</t>
    <phoneticPr fontId="1" type="noConversion"/>
  </si>
  <si>
    <t>SUH4TL KIT</t>
    <phoneticPr fontId="1" type="noConversion"/>
  </si>
  <si>
    <t>HW:尹卫林
MD:陈上富</t>
    <phoneticPr fontId="1" type="noConversion"/>
  </si>
  <si>
    <t>layout完成到PCBA样品与layout完成到机箱样品的最大值</t>
    <phoneticPr fontId="1" type="noConversion"/>
  </si>
  <si>
    <t>layout完成</t>
    <phoneticPr fontId="1" type="noConversion"/>
  </si>
  <si>
    <t>PCB样品</t>
    <phoneticPr fontId="1" type="noConversion"/>
  </si>
  <si>
    <t>PCBA样品</t>
    <phoneticPr fontId="1" type="noConversion"/>
  </si>
  <si>
    <t>机箱图纸</t>
    <phoneticPr fontId="1" type="noConversion"/>
  </si>
  <si>
    <t>机箱样品</t>
    <phoneticPr fontId="1" type="noConversion"/>
  </si>
  <si>
    <t>DL-S41-H2</t>
    <phoneticPr fontId="1" type="noConversion"/>
  </si>
  <si>
    <t>整机开关机一直测试发现不稳定，现软件以修复，DQM正在测试验证</t>
    <phoneticPr fontId="1" type="noConversion"/>
  </si>
  <si>
    <t>在11月10日正式签字移交完资料。</t>
    <phoneticPr fontId="1" type="noConversion"/>
  </si>
  <si>
    <t>HW:李保玉
SW:万超群
MD:陈上富</t>
    <phoneticPr fontId="1" type="noConversion"/>
  </si>
  <si>
    <t>BYOD</t>
    <phoneticPr fontId="1" type="noConversion"/>
  </si>
  <si>
    <t>BYOD</t>
  </si>
  <si>
    <t>1. 由于软件工作安排的原有，中间穿插了T12/T14的项目,加上K12、PSU12一些客诉和上位机软件的问题要解决，中途暂停了三个多月；2.后续由于软件方案有问题，需要更换MCU，已于11.09重新打板。3.由于以上原因，导致该项目需重新安排计划。 4.14号出项目计划变更单</t>
    <phoneticPr fontId="1" type="noConversion"/>
  </si>
  <si>
    <t>第二版贴片11.07发出，预计11.13回PCBA。</t>
    <phoneticPr fontId="1" type="noConversion"/>
  </si>
  <si>
    <t>主板以及音频板11月9号外发贴片，预计13日PCBA回公司，按键板手焊                  1.IT6663，IT66341，IT66321采购物料11月6日到货，导致项目整体延期3天
2.11月14日出项目时间变更单</t>
    <phoneticPr fontId="1" type="noConversion"/>
  </si>
  <si>
    <t>IPA100</t>
  </si>
  <si>
    <t>IPA100</t>
    <phoneticPr fontId="1" type="noConversion"/>
  </si>
  <si>
    <t>1、解决SM62T的试产问题
2、导致延期
3、决策优先保证MP44
4、13号出88变更单</t>
    <phoneticPr fontId="1" type="noConversion"/>
  </si>
  <si>
    <t>解决完16后解决，再解决32，32之前无缝切换效果很差</t>
    <phoneticPr fontId="1" type="noConversion"/>
  </si>
  <si>
    <t>当前阶段</t>
    <phoneticPr fontId="1" type="noConversion"/>
  </si>
  <si>
    <t>RD</t>
    <phoneticPr fontId="1" type="noConversion"/>
  </si>
  <si>
    <r>
      <t xml:space="preserve">1. 由于软件工作安排的原因，中间穿插了T12/T14的项目,加上K12、PSU12一些客诉和上位机软件的问题要解决，中途暂停了两个月；
2.后续由于软件方案有问题，需要更换MCU，11.01已重新打板；                       </t>
    </r>
    <r>
      <rPr>
        <sz val="10"/>
        <color rgb="FFFF0000"/>
        <rFont val="宋体"/>
        <family val="3"/>
        <charset val="134"/>
        <scheme val="minor"/>
      </rPr>
      <t>3.由于以上原因，导致该项目需重新安排计划</t>
    </r>
    <r>
      <rPr>
        <sz val="10"/>
        <color theme="1"/>
        <rFont val="宋体"/>
        <family val="2"/>
        <scheme val="minor"/>
      </rPr>
      <t xml:space="preserve">。                          4.14号出项目计划变更单                            </t>
    </r>
    <phoneticPr fontId="1" type="noConversion"/>
  </si>
  <si>
    <t>客户样机</t>
  </si>
  <si>
    <t>测试</t>
    <phoneticPr fontId="1" type="noConversion"/>
  </si>
  <si>
    <t>SCU82TS</t>
  </si>
  <si>
    <t>下周进入原理图设计</t>
    <phoneticPr fontId="1" type="noConversion"/>
  </si>
  <si>
    <t>HW:唐峰
SW:方炯如、陈志立
MD:叶黎明</t>
    <phoneticPr fontId="1" type="noConversion"/>
  </si>
  <si>
    <t>VXP-62</t>
    <phoneticPr fontId="1" type="noConversion"/>
  </si>
  <si>
    <t>HW:邸兴龙
MD:陈上富</t>
    <phoneticPr fontId="1" type="noConversion"/>
  </si>
  <si>
    <t>VXP-62</t>
  </si>
  <si>
    <t>项目名称</t>
    <phoneticPr fontId="1" type="noConversion"/>
  </si>
  <si>
    <t>立项</t>
    <phoneticPr fontId="1" type="noConversion"/>
  </si>
  <si>
    <t>DQM测试完成</t>
    <phoneticPr fontId="1" type="noConversion"/>
  </si>
  <si>
    <t>硬件考核</t>
    <phoneticPr fontId="1" type="noConversion"/>
  </si>
  <si>
    <t>layout考核</t>
    <phoneticPr fontId="1" type="noConversion"/>
  </si>
  <si>
    <t>结构考核</t>
    <phoneticPr fontId="1" type="noConversion"/>
  </si>
  <si>
    <t>HDBT8X7 KIT</t>
    <phoneticPr fontId="1" type="noConversion"/>
  </si>
  <si>
    <t>试产</t>
    <phoneticPr fontId="1" type="noConversion"/>
  </si>
  <si>
    <t>3月9日准备试产结案</t>
    <phoneticPr fontId="1" type="noConversion"/>
  </si>
  <si>
    <t>TL-SMP-HD
TL-SMP-HDV</t>
    <phoneticPr fontId="1" type="noConversion"/>
  </si>
  <si>
    <t>3.9号准备试产结案</t>
    <phoneticPr fontId="1" type="noConversion"/>
  </si>
  <si>
    <t>SW:王凡
HW:胡志朋
MD:叶黎明</t>
    <phoneticPr fontId="1" type="noConversion"/>
  </si>
  <si>
    <t>VHD-4</t>
    <phoneticPr fontId="1" type="noConversion"/>
  </si>
  <si>
    <t>3.20号已入库，3月24日准备发货，试产结案待定，UL贴纸、包材未确认</t>
    <phoneticPr fontId="1" type="noConversion"/>
  </si>
  <si>
    <t>HW:黄全雷
SW:王凡
MD:叶黎明</t>
    <phoneticPr fontId="1" type="noConversion"/>
  </si>
  <si>
    <t>VHD-8</t>
    <phoneticPr fontId="1" type="noConversion"/>
  </si>
  <si>
    <t>VHT-1&amp;VHR-1</t>
    <phoneticPr fontId="1" type="noConversion"/>
  </si>
  <si>
    <t>HW:黄全雷
MD:叶黎明</t>
    <phoneticPr fontId="1" type="noConversion"/>
  </si>
  <si>
    <t>TEK SC61TS</t>
    <phoneticPr fontId="1" type="noConversion"/>
  </si>
  <si>
    <t>准备试产总结</t>
    <phoneticPr fontId="1" type="noConversion"/>
  </si>
  <si>
    <t>HW:韦灿文
SW:王凡
MD:叶黎明</t>
    <phoneticPr fontId="1" type="noConversion"/>
  </si>
  <si>
    <t>TMX-88PRO</t>
    <phoneticPr fontId="1" type="noConversion"/>
  </si>
  <si>
    <t>漏光问题，前面板和亚克力更改，下周到后试产总结</t>
    <phoneticPr fontId="1" type="noConversion"/>
  </si>
  <si>
    <t>HW:韦灿文
SW:朱展龙
MD:陈上富</t>
    <phoneticPr fontId="1" type="noConversion"/>
  </si>
  <si>
    <t>TMX-44PRO</t>
    <phoneticPr fontId="1" type="noConversion"/>
  </si>
  <si>
    <t>漏光问题已解决，待下周三召开试产总结</t>
    <phoneticPr fontId="1" type="noConversion"/>
  </si>
  <si>
    <t>HW:刘生辉
SW:朱展龙
MD:陈上富</t>
    <phoneticPr fontId="1" type="noConversion"/>
  </si>
  <si>
    <t>EVHDEXT</t>
    <phoneticPr fontId="1" type="noConversion"/>
  </si>
  <si>
    <t>试产失败</t>
    <phoneticPr fontId="1" type="noConversion"/>
  </si>
  <si>
    <t>HW:黄全雷
SW:莫光励
MD:叶黎明</t>
    <phoneticPr fontId="1" type="noConversion"/>
  </si>
  <si>
    <t>KD-AMP220</t>
    <phoneticPr fontId="1" type="noConversion"/>
  </si>
  <si>
    <t>客户反馈新的程序有很大的改善，但需要再优化旋钮程序，预计24号发给客户</t>
    <phoneticPr fontId="1" type="noConversion"/>
  </si>
  <si>
    <t>HW:刘生辉
SW:蒋立江
MD:叶黎明</t>
    <phoneticPr fontId="1" type="noConversion"/>
  </si>
  <si>
    <t>PT-SP-HD12UHD</t>
    <phoneticPr fontId="1" type="noConversion"/>
  </si>
  <si>
    <t>直接批量</t>
    <phoneticPr fontId="1" type="noConversion"/>
  </si>
  <si>
    <t>PT-SP-HD14UHD</t>
    <phoneticPr fontId="1" type="noConversion"/>
  </si>
  <si>
    <t>PT-SW-HD41UHD</t>
    <phoneticPr fontId="1" type="noConversion"/>
  </si>
  <si>
    <t>DQM还未测试完成，回复21号测试完成，预计24号结案</t>
    <phoneticPr fontId="1" type="noConversion"/>
  </si>
  <si>
    <t>HW:李保玉
SW:莫光励
MD:叶黎明</t>
    <phoneticPr fontId="1" type="noConversion"/>
  </si>
  <si>
    <t>PT-PSW-52H</t>
    <phoneticPr fontId="1" type="noConversion"/>
  </si>
  <si>
    <t>DQM还未测试完成，回复23号测试完成，预计29号结案</t>
    <phoneticPr fontId="1" type="noConversion"/>
  </si>
  <si>
    <t>UHD4K-44</t>
    <phoneticPr fontId="1" type="noConversion"/>
  </si>
  <si>
    <t>量产中</t>
    <phoneticPr fontId="1" type="noConversion"/>
  </si>
  <si>
    <t>UHD4K-88</t>
    <phoneticPr fontId="1" type="noConversion"/>
  </si>
  <si>
    <t>EVMX4K16</t>
    <phoneticPr fontId="1" type="noConversion"/>
  </si>
  <si>
    <t>9月4日发程序给DQM测试，预计9月8日发布程序</t>
    <phoneticPr fontId="1" type="noConversion"/>
  </si>
  <si>
    <t xml:space="preserve">HW:李保玉
SW:林峰
MD:叶黎明 </t>
    <phoneticPr fontId="1" type="noConversion"/>
  </si>
  <si>
    <t>NDS-PHM44</t>
    <phoneticPr fontId="1" type="noConversion"/>
  </si>
  <si>
    <t>13号移交资料</t>
    <phoneticPr fontId="1" type="noConversion"/>
  </si>
  <si>
    <t>HW:韦灿文
SW:黄有君
MD:陈上富</t>
    <phoneticPr fontId="1" type="noConversion"/>
  </si>
  <si>
    <t>NDS-PHM88</t>
    <phoneticPr fontId="1" type="noConversion"/>
  </si>
  <si>
    <t>WP6K</t>
    <phoneticPr fontId="1" type="noConversion"/>
  </si>
  <si>
    <t>3.31号准备时间总结</t>
    <phoneticPr fontId="1" type="noConversion"/>
  </si>
  <si>
    <t>SW:王佳明
HW:刘生辉
MD:陈上富</t>
    <phoneticPr fontId="1" type="noConversion"/>
  </si>
  <si>
    <t>TPUH411RA</t>
    <phoneticPr fontId="1" type="noConversion"/>
  </si>
  <si>
    <t>`</t>
    <phoneticPr fontId="1" type="noConversion"/>
  </si>
  <si>
    <t>TPUH412RA</t>
    <phoneticPr fontId="1" type="noConversion"/>
  </si>
  <si>
    <t>HW:胡志朋
MD:叶黎明</t>
    <phoneticPr fontId="1" type="noConversion"/>
  </si>
  <si>
    <t>TPUH406T-US</t>
    <phoneticPr fontId="1" type="noConversion"/>
  </si>
  <si>
    <t>试产调试中</t>
    <phoneticPr fontId="1" type="noConversion"/>
  </si>
  <si>
    <t>TPUH-RM5</t>
    <phoneticPr fontId="1" type="noConversion"/>
  </si>
  <si>
    <t>设计开发</t>
    <phoneticPr fontId="1" type="noConversion"/>
  </si>
  <si>
    <t>待立项资料发布后启动项目</t>
    <phoneticPr fontId="1" type="noConversion"/>
  </si>
  <si>
    <t>MD:陈上富</t>
    <phoneticPr fontId="1" type="noConversion"/>
  </si>
  <si>
    <t>TPUH406TV-US</t>
    <phoneticPr fontId="1" type="noConversion"/>
  </si>
  <si>
    <t>DQM验证中，预计今天移交硬件和软件资料</t>
    <phoneticPr fontId="1" type="noConversion"/>
  </si>
  <si>
    <t>HW:胡志朋
SW:莫光励
MD:陈上富</t>
    <phoneticPr fontId="1" type="noConversion"/>
  </si>
  <si>
    <t>CE-CE60</t>
    <phoneticPr fontId="1" type="noConversion"/>
  </si>
  <si>
    <t>DQM验证</t>
    <phoneticPr fontId="1" type="noConversion"/>
  </si>
  <si>
    <t>延期两个工作日</t>
    <phoneticPr fontId="1" type="noConversion"/>
  </si>
  <si>
    <t>HW:唐峰
MD:叶黎明</t>
    <phoneticPr fontId="1" type="noConversion"/>
  </si>
  <si>
    <t>CE-CVHH</t>
    <phoneticPr fontId="1" type="noConversion"/>
  </si>
  <si>
    <t>装配测试中，下周结束试产</t>
    <phoneticPr fontId="1" type="noConversion"/>
  </si>
  <si>
    <t>SUH25E KIT</t>
    <phoneticPr fontId="1" type="noConversion"/>
  </si>
  <si>
    <t>试产测试中，下周试产结束</t>
    <phoneticPr fontId="1" type="noConversion"/>
  </si>
  <si>
    <t>SW:李保玉
HW:莫光励
MD:陈上富</t>
    <phoneticPr fontId="1" type="noConversion"/>
  </si>
  <si>
    <t>SUH27E KIT</t>
    <phoneticPr fontId="1" type="noConversion"/>
  </si>
  <si>
    <t>TPUH610</t>
    <phoneticPr fontId="1" type="noConversion"/>
  </si>
  <si>
    <t>共用411</t>
    <phoneticPr fontId="1" type="noConversion"/>
  </si>
  <si>
    <t>CE-CVAD</t>
    <phoneticPr fontId="1" type="noConversion"/>
  </si>
  <si>
    <t>机箱喷粉过厚，导致机箱孔位对不上，供应商返工中，下周一回来后结案</t>
    <phoneticPr fontId="1" type="noConversion"/>
  </si>
  <si>
    <t>HW:唐峰
SW:莫光励
MD:陈上富</t>
    <phoneticPr fontId="1" type="noConversion"/>
  </si>
  <si>
    <t>CE-DA12</t>
    <phoneticPr fontId="1" type="noConversion"/>
  </si>
  <si>
    <t>工程组装测试当中</t>
    <phoneticPr fontId="1" type="noConversion"/>
  </si>
  <si>
    <t>HW:唐峰
MD:陈上富</t>
    <phoneticPr fontId="1" type="noConversion"/>
  </si>
  <si>
    <t>CE-DA14</t>
    <phoneticPr fontId="1" type="noConversion"/>
  </si>
  <si>
    <t>SC61TS-D</t>
    <phoneticPr fontId="1" type="noConversion"/>
  </si>
  <si>
    <t>功能测试中，下周移交资料</t>
    <phoneticPr fontId="1" type="noConversion"/>
  </si>
  <si>
    <t>CE-EX20B</t>
    <phoneticPr fontId="1" type="noConversion"/>
  </si>
  <si>
    <t>5月25日已移交工程调试中</t>
    <phoneticPr fontId="1" type="noConversion"/>
  </si>
  <si>
    <t>TPUH620</t>
    <phoneticPr fontId="1" type="noConversion"/>
  </si>
  <si>
    <t>工程质检中，下周2结案</t>
    <phoneticPr fontId="1" type="noConversion"/>
  </si>
  <si>
    <t>FMX-OAU2</t>
    <phoneticPr fontId="1" type="noConversion"/>
  </si>
  <si>
    <t>预计下班前结案</t>
    <phoneticPr fontId="1" type="noConversion"/>
  </si>
  <si>
    <t>HW:韦灿文
SW:谈小魏、张靖峰
MD:叶黎明</t>
    <phoneticPr fontId="1" type="noConversion"/>
  </si>
  <si>
    <t>CE-SS3113</t>
    <phoneticPr fontId="1" type="noConversion"/>
  </si>
  <si>
    <t>20号已经出完样机，预计今天下班前结案</t>
    <phoneticPr fontId="1" type="noConversion"/>
  </si>
  <si>
    <t>TPUH630</t>
    <phoneticPr fontId="1" type="noConversion"/>
  </si>
  <si>
    <t>12号结束试产</t>
    <phoneticPr fontId="1" type="noConversion"/>
  </si>
  <si>
    <t>SC41T-CODEC</t>
    <phoneticPr fontId="1" type="noConversion"/>
  </si>
  <si>
    <t>待试产结案</t>
    <phoneticPr fontId="1" type="noConversion"/>
  </si>
  <si>
    <t>TPUH4120</t>
    <phoneticPr fontId="1" type="noConversion"/>
  </si>
  <si>
    <t>8号移交资料</t>
    <phoneticPr fontId="1" type="noConversion"/>
  </si>
  <si>
    <t>TPUH406T-EU/UK</t>
    <phoneticPr fontId="1" type="noConversion"/>
  </si>
  <si>
    <t>PCBA在调试仓，总结预计8月完成</t>
    <phoneticPr fontId="1" type="noConversion"/>
  </si>
  <si>
    <t>SCU21TG</t>
    <phoneticPr fontId="1" type="noConversion"/>
  </si>
  <si>
    <t>软件已发布，待中试组回复新的具体时间</t>
    <phoneticPr fontId="1" type="noConversion"/>
  </si>
  <si>
    <t>HW:严红时
SW:王凡
MD:陈上富</t>
    <phoneticPr fontId="1" type="noConversion"/>
  </si>
  <si>
    <t>SCU41G</t>
    <phoneticPr fontId="1" type="noConversion"/>
  </si>
  <si>
    <t>软件ECN未发布，压在范工那里，中试组无法试产</t>
    <phoneticPr fontId="1" type="noConversion"/>
  </si>
  <si>
    <t>SC-GRV-H-D</t>
    <phoneticPr fontId="1" type="noConversion"/>
  </si>
  <si>
    <t>搭配的桌插，一起结案</t>
    <phoneticPr fontId="1" type="noConversion"/>
  </si>
  <si>
    <t>TPUH406TH-US</t>
    <phoneticPr fontId="1" type="noConversion"/>
  </si>
  <si>
    <t>DQM测试中</t>
    <phoneticPr fontId="1" type="noConversion"/>
  </si>
  <si>
    <t>HW:胡志朋
SW:王凡
MD:陈上富</t>
    <phoneticPr fontId="1" type="noConversion"/>
  </si>
  <si>
    <t>K12-PAD1V-UK&amp;EU</t>
    <phoneticPr fontId="1" type="noConversion"/>
  </si>
  <si>
    <t>HW:李保玉
SW:蒋立江
MD:陈上富</t>
    <phoneticPr fontId="1" type="noConversion"/>
  </si>
  <si>
    <t>K12-TX1V-UK&amp;EU</t>
    <phoneticPr fontId="1" type="noConversion"/>
  </si>
  <si>
    <t>CE-DA131T</t>
    <phoneticPr fontId="1" type="noConversion"/>
  </si>
  <si>
    <t>测试问题已反馈给原厂，预计下周有反馈
远端HDBT的验证，预计24日有结果</t>
    <phoneticPr fontId="1" type="noConversion"/>
  </si>
  <si>
    <t>CE-EX50</t>
    <phoneticPr fontId="1" type="noConversion"/>
  </si>
  <si>
    <t>准备资料中，预计5号移交资料直接进入量产</t>
    <phoneticPr fontId="1" type="noConversion"/>
  </si>
  <si>
    <t>CE-MX44</t>
    <phoneticPr fontId="1" type="noConversion"/>
  </si>
  <si>
    <t>预计4号交样机，预计5号移交资料直接进入量产</t>
    <phoneticPr fontId="1" type="noConversion"/>
  </si>
  <si>
    <t>CE-DA171T</t>
    <phoneticPr fontId="1" type="noConversion"/>
  </si>
  <si>
    <t>IPAV1100</t>
    <phoneticPr fontId="1" type="noConversion"/>
  </si>
  <si>
    <t>SCU82TS</t>
    <phoneticPr fontId="1" type="noConversion"/>
  </si>
  <si>
    <t>SCU41T-CODEC</t>
    <phoneticPr fontId="1" type="noConversion"/>
  </si>
  <si>
    <t>TL-TP100-HDC2</t>
    <phoneticPr fontId="1" type="noConversion"/>
  </si>
  <si>
    <t>2018/2/29</t>
    <phoneticPr fontId="1" type="noConversion"/>
  </si>
  <si>
    <t>IPAV1100</t>
  </si>
  <si>
    <r>
      <t>1.客户要求把MCU由STM32F107RCT6更改为STM32F207VET6，须要重新改板和重新贴片
2.新的PCBA预计在11月13号到
3.11月14号出变更单</t>
    </r>
    <r>
      <rPr>
        <sz val="10"/>
        <color theme="1"/>
        <rFont val="宋体"/>
        <family val="2"/>
        <scheme val="minor"/>
      </rPr>
      <t xml:space="preserve">
</t>
    </r>
    <phoneticPr fontId="1" type="noConversion"/>
  </si>
  <si>
    <r>
      <t xml:space="preserve">1.12月25日转测试
2.1月12日移交样机
</t>
    </r>
    <r>
      <rPr>
        <sz val="10"/>
        <color rgb="FFFF0000"/>
        <rFont val="宋体"/>
        <family val="3"/>
        <charset val="134"/>
        <scheme val="minor"/>
      </rPr>
      <t>11.16：项目因工程师离职，时间计划已变更，业务要求1/5日提供研发样机</t>
    </r>
    <phoneticPr fontId="1" type="noConversion"/>
  </si>
  <si>
    <r>
      <t xml:space="preserve">1.PCBA因为板厂把高速连接器的孔做小要重新打板和重新贴片
2.新的PCBA预计在11月10号到
3.14号出变更单
</t>
    </r>
    <r>
      <rPr>
        <sz val="10"/>
        <color rgb="FFFF0000"/>
        <rFont val="宋体"/>
        <family val="3"/>
        <charset val="134"/>
        <scheme val="minor"/>
      </rPr>
      <t>11/16：已按16号审核发布的时间计划变更</t>
    </r>
    <phoneticPr fontId="1" type="noConversion"/>
  </si>
  <si>
    <t>预计21号发布资料</t>
    <phoneticPr fontId="1" type="noConversion"/>
  </si>
  <si>
    <t>输出自适应功能目前暂时做不了，按计划测试</t>
    <phoneticPr fontId="1" type="noConversion"/>
  </si>
  <si>
    <t>第二版贴片中，下周进入硬件调试</t>
    <phoneticPr fontId="1" type="noConversion"/>
  </si>
  <si>
    <t>SY-MUBT-44EC-SET</t>
    <phoneticPr fontId="1" type="noConversion"/>
  </si>
  <si>
    <t>第二版测试中</t>
    <phoneticPr fontId="1" type="noConversion"/>
  </si>
  <si>
    <t>20号转测试</t>
    <phoneticPr fontId="1" type="noConversion"/>
  </si>
  <si>
    <t>试产中</t>
    <phoneticPr fontId="1" type="noConversion"/>
  </si>
  <si>
    <t>跟标威沟通确认HDCP改为1.4，21号确认</t>
    <phoneticPr fontId="1" type="noConversion"/>
  </si>
  <si>
    <t>10号已移交第二版样机，待业务反馈是否ok</t>
    <phoneticPr fontId="1" type="noConversion"/>
  </si>
  <si>
    <t>17号未提供软件给研发</t>
    <phoneticPr fontId="1" type="noConversion"/>
  </si>
  <si>
    <t>做完VB8后，再做VB12</t>
    <phoneticPr fontId="1" type="noConversion"/>
  </si>
  <si>
    <t>首轮测试中</t>
    <phoneticPr fontId="1" type="noConversion"/>
  </si>
  <si>
    <t>硬件调试中，预计11月30日给软件组</t>
    <phoneticPr fontId="1" type="noConversion"/>
  </si>
  <si>
    <t>15号已移交软件组</t>
    <phoneticPr fontId="1" type="noConversion"/>
  </si>
  <si>
    <t>软件调试中，预计24号转测试</t>
    <phoneticPr fontId="1" type="noConversion"/>
  </si>
  <si>
    <t>测试中，解决EDID问题后发布软件</t>
    <phoneticPr fontId="1" type="noConversion"/>
  </si>
  <si>
    <t>打板中</t>
    <phoneticPr fontId="1" type="noConversion"/>
  </si>
  <si>
    <t>黄有君</t>
    <phoneticPr fontId="1" type="noConversion"/>
  </si>
  <si>
    <t>1.44 22号发第二轮软件给DQM
2.88 按计划进行</t>
    <phoneticPr fontId="1" type="noConversion"/>
  </si>
  <si>
    <t>目前处于暂停状态</t>
    <phoneticPr fontId="1" type="noConversion"/>
  </si>
  <si>
    <t>客户反馈17号回复，建议先移交硬件和结构，软件迟些发布(风扇问题20号确认)</t>
    <phoneticPr fontId="1" type="noConversion"/>
  </si>
  <si>
    <t>22号发程序给客户</t>
    <phoneticPr fontId="1" type="noConversion"/>
  </si>
  <si>
    <t>按计划进行</t>
    <phoneticPr fontId="1" type="noConversion"/>
  </si>
  <si>
    <t>延期到22号移交DQM</t>
    <phoneticPr fontId="1" type="noConversion"/>
  </si>
  <si>
    <t>客户的问题都修改完了，目前的兼容性问题不改</t>
    <phoneticPr fontId="1" type="noConversion"/>
  </si>
  <si>
    <t>客户问题复现不了，软件再进一步优化中</t>
    <phoneticPr fontId="1" type="noConversion"/>
  </si>
  <si>
    <t>客户还没反馈</t>
    <phoneticPr fontId="1" type="noConversion"/>
  </si>
  <si>
    <t>目标13号移交DQM，31号出样
4k30不出图像，胡志鹏在协助处理</t>
    <phoneticPr fontId="1" type="noConversion"/>
  </si>
  <si>
    <t>下周一把软件给到DQM测试
项目变更单17号未出</t>
    <phoneticPr fontId="1" type="noConversion"/>
  </si>
  <si>
    <t>样机已经移交，待客户提供软件</t>
    <phoneticPr fontId="1" type="noConversion"/>
  </si>
  <si>
    <t>按计划进行</t>
    <phoneticPr fontId="1" type="noConversion"/>
  </si>
  <si>
    <t>LR-EX1</t>
    <phoneticPr fontId="1" type="noConversion"/>
  </si>
  <si>
    <t>LR-DA14</t>
    <phoneticPr fontId="1" type="noConversion"/>
  </si>
  <si>
    <t>INT-HDX100-RXWP</t>
    <phoneticPr fontId="1" type="noConversion"/>
  </si>
  <si>
    <t>KD-SX444WP</t>
    <phoneticPr fontId="1" type="noConversion"/>
  </si>
  <si>
    <t>HXL-88</t>
    <phoneticPr fontId="1" type="noConversion"/>
  </si>
  <si>
    <t>软件人员还未定出来</t>
    <phoneticPr fontId="1" type="noConversion"/>
  </si>
  <si>
    <t>CUH-STH</t>
    <phoneticPr fontId="1" type="noConversion"/>
  </si>
  <si>
    <t>22号已发程序给DQM</t>
    <phoneticPr fontId="1" type="noConversion"/>
  </si>
  <si>
    <t>K12 Platform GUI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</si>
</sst>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 * #,##0.00_ ;_ * \-#,##0.00_ ;_ * &quot;-&quot;??_ ;_ @_ "/>
  </numFmts>
  <fonts count="1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9"/>
      <name val="新宋体"/>
      <family val="2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0"/>
      <color rgb="FFFF0000"/>
      <name val="宋体"/>
      <family val="2"/>
      <scheme val="minor"/>
    </font>
    <font>
      <sz val="11"/>
      <color rgb="FF000000"/>
      <name val="宋体"/>
      <family val="3"/>
      <charset val="134"/>
    </font>
    <font>
      <sz val="10"/>
      <color rgb="FFFF0000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name val="宋体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>
      <alignment vertical="center"/>
    </xf>
  </cellStyleXfs>
  <cellXfs count="142">
    <xf numFmtId="0" fontId="0" fillId="0" borderId="0" xfId="0"/>
    <xf numFmtId="0" fontId="3" fillId="0" borderId="0" xfId="0" applyFont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0" fillId="0" borderId="0" xfId="0" applyFill="1"/>
    <xf numFmtId="0" fontId="0" fillId="4" borderId="0" xfId="0" applyFill="1" applyAlignment="1">
      <alignment horizontal="right" vertic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 vertical="center"/>
    </xf>
    <xf numFmtId="14" fontId="3" fillId="0" borderId="1" xfId="1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3" fillId="0" borderId="10" xfId="0" applyFont="1" applyFill="1" applyBorder="1" applyAlignment="1" applyProtection="1">
      <alignment vertical="center" wrapText="1"/>
      <protection locked="0"/>
    </xf>
    <xf numFmtId="0" fontId="3" fillId="0" borderId="11" xfId="0" applyFont="1" applyFill="1" applyBorder="1" applyAlignment="1" applyProtection="1">
      <alignment vertical="center" wrapText="1"/>
      <protection locked="0"/>
    </xf>
    <xf numFmtId="14" fontId="0" fillId="0" borderId="0" xfId="0" applyNumberFormat="1" applyProtection="1"/>
    <xf numFmtId="0" fontId="9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14" fontId="3" fillId="0" borderId="1" xfId="1" applyNumberFormat="1" applyFont="1" applyBorder="1" applyAlignment="1" applyProtection="1">
      <alignment vertical="center"/>
    </xf>
    <xf numFmtId="43" fontId="0" fillId="0" borderId="0" xfId="1" applyFont="1" applyAlignment="1" applyProtection="1"/>
    <xf numFmtId="14" fontId="0" fillId="0" borderId="0" xfId="1" applyNumberFormat="1" applyFont="1" applyAlignment="1" applyProtection="1"/>
    <xf numFmtId="14" fontId="3" fillId="0" borderId="1" xfId="1" applyNumberFormat="1" applyFont="1" applyBorder="1" applyAlignment="1" applyProtection="1">
      <alignment horizontal="center" vertical="center"/>
    </xf>
    <xf numFmtId="14" fontId="3" fillId="0" borderId="1" xfId="0" applyNumberFormat="1" applyFont="1" applyBorder="1" applyAlignment="1" applyProtection="1">
      <alignment vertical="center"/>
    </xf>
    <xf numFmtId="14" fontId="3" fillId="6" borderId="1" xfId="0" applyNumberFormat="1" applyFont="1" applyFill="1" applyBorder="1" applyAlignment="1" applyProtection="1">
      <alignment vertical="center"/>
    </xf>
    <xf numFmtId="14" fontId="3" fillId="8" borderId="1" xfId="0" applyNumberFormat="1" applyFont="1" applyFill="1" applyBorder="1" applyAlignment="1" applyProtection="1">
      <alignment vertical="center"/>
    </xf>
    <xf numFmtId="14" fontId="3" fillId="9" borderId="1" xfId="0" applyNumberFormat="1" applyFont="1" applyFill="1" applyBorder="1" applyAlignment="1" applyProtection="1">
      <alignment vertical="center"/>
    </xf>
    <xf numFmtId="14" fontId="3" fillId="11" borderId="1" xfId="0" applyNumberFormat="1" applyFont="1" applyFill="1" applyBorder="1" applyAlignment="1" applyProtection="1">
      <alignment vertical="center"/>
    </xf>
    <xf numFmtId="14" fontId="3" fillId="7" borderId="1" xfId="0" applyNumberFormat="1" applyFont="1" applyFill="1" applyBorder="1" applyAlignment="1" applyProtection="1">
      <alignment vertical="center"/>
    </xf>
    <xf numFmtId="14" fontId="3" fillId="10" borderId="1" xfId="0" applyNumberFormat="1" applyFont="1" applyFill="1" applyBorder="1" applyAlignment="1" applyProtection="1">
      <alignment vertical="center"/>
    </xf>
    <xf numFmtId="0" fontId="0" fillId="0" borderId="0" xfId="0" applyAlignment="1">
      <alignment horizontal="center" vertical="center"/>
    </xf>
    <xf numFmtId="58" fontId="3" fillId="0" borderId="1" xfId="0" applyNumberFormat="1" applyFont="1" applyBorder="1" applyAlignment="1">
      <alignment horizontal="center" vertical="center"/>
    </xf>
    <xf numFmtId="58" fontId="3" fillId="0" borderId="3" xfId="0" applyNumberFormat="1" applyFont="1" applyBorder="1" applyAlignment="1">
      <alignment horizontal="center" vertical="center"/>
    </xf>
    <xf numFmtId="58" fontId="3" fillId="3" borderId="1" xfId="0" applyNumberFormat="1" applyFont="1" applyFill="1" applyBorder="1" applyAlignment="1">
      <alignment horizontal="center" vertical="center"/>
    </xf>
    <xf numFmtId="58" fontId="3" fillId="0" borderId="1" xfId="0" applyNumberFormat="1" applyFont="1" applyFill="1" applyBorder="1" applyAlignment="1">
      <alignment horizontal="center" vertical="center"/>
    </xf>
    <xf numFmtId="58" fontId="3" fillId="12" borderId="1" xfId="0" applyNumberFormat="1" applyFont="1" applyFill="1" applyBorder="1" applyAlignment="1">
      <alignment horizontal="center" vertical="center"/>
    </xf>
    <xf numFmtId="58" fontId="3" fillId="0" borderId="3" xfId="0" applyNumberFormat="1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5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2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58" fontId="3" fillId="3" borderId="3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58" fontId="11" fillId="3" borderId="1" xfId="0" applyNumberFormat="1" applyFont="1" applyFill="1" applyBorder="1" applyAlignment="1">
      <alignment horizontal="center" vertical="center"/>
    </xf>
    <xf numFmtId="58" fontId="11" fillId="0" borderId="1" xfId="0" applyNumberFormat="1" applyFont="1" applyFill="1" applyBorder="1" applyAlignment="1">
      <alignment horizontal="center" vertical="center"/>
    </xf>
    <xf numFmtId="58" fontId="11" fillId="0" borderId="1" xfId="0" applyNumberFormat="1" applyFont="1" applyBorder="1" applyAlignment="1">
      <alignment horizontal="center" vertical="center"/>
    </xf>
    <xf numFmtId="58" fontId="13" fillId="3" borderId="1" xfId="0" applyNumberFormat="1" applyFont="1" applyFill="1" applyBorder="1" applyAlignment="1">
      <alignment horizontal="center" vertical="center"/>
    </xf>
    <xf numFmtId="58" fontId="11" fillId="0" borderId="3" xfId="0" applyNumberFormat="1" applyFont="1" applyBorder="1" applyAlignment="1">
      <alignment horizontal="center" vertical="center"/>
    </xf>
    <xf numFmtId="58" fontId="13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" xfId="0" applyFont="1" applyBorder="1" applyAlignment="1" applyProtection="1">
      <alignment horizontal="center" vertical="center" wrapText="1"/>
      <protection locked="0"/>
    </xf>
    <xf numFmtId="58" fontId="3" fillId="3" borderId="1" xfId="0" applyNumberFormat="1" applyFont="1" applyFill="1" applyBorder="1" applyAlignment="1">
      <alignment horizontal="center" vertical="center" wrapText="1"/>
    </xf>
    <xf numFmtId="58" fontId="3" fillId="0" borderId="1" xfId="0" applyNumberFormat="1" applyFont="1" applyFill="1" applyBorder="1" applyAlignment="1">
      <alignment horizontal="center" vertical="center" wrapText="1"/>
    </xf>
    <xf numFmtId="58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58" fontId="3" fillId="0" borderId="3" xfId="0" applyNumberFormat="1" applyFont="1" applyBorder="1" applyAlignment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3" fillId="0" borderId="2" xfId="0" applyFont="1" applyFill="1" applyBorder="1" applyAlignment="1">
      <alignment horizontal="center" vertical="center" wrapText="1"/>
    </xf>
    <xf numFmtId="58" fontId="3" fillId="13" borderId="1" xfId="0" applyNumberFormat="1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14" fontId="3" fillId="3" borderId="2" xfId="0" applyNumberFormat="1" applyFont="1" applyFill="1" applyBorder="1" applyAlignment="1">
      <alignment horizontal="center" vertical="center"/>
    </xf>
    <xf numFmtId="14" fontId="3" fillId="3" borderId="3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left" vertical="top" wrapText="1"/>
    </xf>
    <xf numFmtId="0" fontId="11" fillId="0" borderId="3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center" vertical="center" wrapText="1"/>
    </xf>
    <xf numFmtId="14" fontId="3" fillId="3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top" wrapText="1"/>
    </xf>
    <xf numFmtId="0" fontId="2" fillId="0" borderId="3" xfId="0" applyFont="1" applyFill="1" applyBorder="1" applyAlignment="1">
      <alignment horizontal="left" vertical="top" wrapText="1"/>
    </xf>
    <xf numFmtId="0" fontId="3" fillId="0" borderId="1" xfId="0" applyFont="1" applyBorder="1" applyAlignment="1">
      <alignment horizontal="center" vertical="center" wrapText="1"/>
    </xf>
    <xf numFmtId="0" fontId="12" fillId="8" borderId="18" xfId="0" applyFont="1" applyFill="1" applyBorder="1" applyAlignment="1">
      <alignment horizontal="center" vertical="center"/>
    </xf>
    <xf numFmtId="0" fontId="12" fillId="8" borderId="19" xfId="0" applyFont="1" applyFill="1" applyBorder="1" applyAlignment="1">
      <alignment horizontal="center" vertical="center"/>
    </xf>
    <xf numFmtId="0" fontId="12" fillId="8" borderId="10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11" borderId="8" xfId="0" applyFont="1" applyFill="1" applyBorder="1" applyAlignment="1">
      <alignment horizontal="center" vertical="center"/>
    </xf>
    <xf numFmtId="0" fontId="8" fillId="11" borderId="9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8" borderId="8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13" xfId="0" applyFont="1" applyBorder="1" applyAlignment="1">
      <alignment horizontal="left" vertical="top" wrapText="1"/>
    </xf>
    <xf numFmtId="0" fontId="13" fillId="0" borderId="3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</cellXfs>
  <cellStyles count="2">
    <cellStyle name="常规" xfId="0" builtinId="0"/>
    <cellStyle name="千位分隔" xfId="1" builtinId="3"/>
  </cellStyles>
  <dxfs count="826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left style="thin">
          <color auto="1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 b="1"/>
              <a:t>新项目研发进度分析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1.4814814814814815E-2"/>
          <c:y val="0.11207824823966642"/>
          <c:w val="0.96228956228956231"/>
          <c:h val="0.8037406236636792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'项目基础资料-梁'!$L$1</c:f>
              <c:strCache>
                <c:ptCount val="1"/>
                <c:pt idx="0">
                  <c:v>结束-实际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63FB5E7-9E49-4278-B27B-A3DE5827DD25}" type="CELLRANGE">
                      <a:rPr lang="en-US" altLang="zh-CN"/>
                      <a:pPr/>
                      <a:t>[CELLRANGE]</a:t>
                    </a:fld>
                    <a:endParaRPr lang="zh-CN" alt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D9E8-4564-83B6-D8DC418D8F77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76A983-1745-4C19-9848-E7215933E7CE}" type="CELLRANGE">
                      <a:rPr lang="en-US" altLang="zh-CN"/>
                      <a:pPr/>
                      <a:t>[CELLRANGE]</a:t>
                    </a:fld>
                    <a:endParaRPr lang="zh-CN" alt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D9E8-4564-83B6-D8DC418D8F77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0E0223-0230-4F9F-BB8A-CB208B76A97D}" type="CELLRANGE">
                      <a:rPr lang="en-US" altLang="zh-CN"/>
                      <a:pPr/>
                      <a:t>[CELLRANGE]</a:t>
                    </a:fld>
                    <a:endParaRPr lang="zh-CN" alt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9E8-4564-83B6-D8DC418D8F77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EF7EDC-A82A-44A2-B51C-0BCF9922A46E}" type="CELLRANGE">
                      <a:rPr lang="en-US" altLang="zh-CN"/>
                      <a:pPr/>
                      <a:t>[CELLRANGE]</a:t>
                    </a:fld>
                    <a:endParaRPr lang="zh-CN" alt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D9E8-4564-83B6-D8DC418D8F77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317C63-0244-4CC0-97CE-B8C49BB6A9A4}" type="CELLRANGE">
                      <a:rPr lang="en-US" altLang="zh-CN"/>
                      <a:pPr/>
                      <a:t>[CELLRANGE]</a:t>
                    </a:fld>
                    <a:endParaRPr lang="zh-CN" alt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2DFEDF0-D3E5-42C5-82C4-4DC57EB3DAA4}" type="CELLRANGE">
                      <a:rPr lang="en-US" altLang="zh-CN"/>
                      <a:pPr/>
                      <a:t>[CELLRANGE]</a:t>
                    </a:fld>
                    <a:endParaRPr lang="zh-CN" alt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D9E8-4564-83B6-D8DC418D8F77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'项目基础资料-梁'!$J$2:$J$7</c:f>
              <c:strCache>
                <c:ptCount val="6"/>
                <c:pt idx="0">
                  <c:v>设计开发</c:v>
                </c:pt>
                <c:pt idx="1">
                  <c:v>采购打样</c:v>
                </c:pt>
                <c:pt idx="2">
                  <c:v>调试</c:v>
                </c:pt>
                <c:pt idx="3">
                  <c:v>测试</c:v>
                </c:pt>
                <c:pt idx="4">
                  <c:v>样机</c:v>
                </c:pt>
                <c:pt idx="5">
                  <c:v>资料移交</c:v>
                </c:pt>
              </c:strCache>
            </c:strRef>
          </c:cat>
          <c:val>
            <c:numRef>
              <c:f>'项目基础资料-梁'!$L$2:$L$7</c:f>
              <c:numCache>
                <c:formatCode>_(* #,##0.00_);_(* \(#,##0.00\);_(* "-"??_);_(@_)</c:formatCode>
                <c:ptCount val="6"/>
                <c:pt idx="0">
                  <c:v>326</c:v>
                </c:pt>
                <c:pt idx="1">
                  <c:v>326</c:v>
                </c:pt>
                <c:pt idx="2">
                  <c:v>326</c:v>
                </c:pt>
                <c:pt idx="3">
                  <c:v>326</c:v>
                </c:pt>
                <c:pt idx="4">
                  <c:v>326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9E8-4564-83B6-D8DC418D8F77}"/>
            </c:ext>
            <c:ext xmlns:c15="http://schemas.microsoft.com/office/drawing/2012/chart" uri="{02D57815-91ED-43cb-92C2-25804820EDAC}">
              <c15:datalabelsRange>
                <c15:f>'项目基础资料-梁'!$I$2:$I$7</c15:f>
                <c15:dlblRangeCache>
                  <c:ptCount val="6"/>
                  <c:pt idx="0">
                    <c:v>2017/11/23</c:v>
                  </c:pt>
                  <c:pt idx="1">
                    <c:v>2017/11/23</c:v>
                  </c:pt>
                  <c:pt idx="2">
                    <c:v>2017/11/23</c:v>
                  </c:pt>
                  <c:pt idx="3">
                    <c:v>2017/11/23</c:v>
                  </c:pt>
                  <c:pt idx="4">
                    <c:v>2017/11/23</c:v>
                  </c:pt>
                  <c:pt idx="5">
                    <c:v>#VALUE!</c:v>
                  </c:pt>
                </c15:dlblRangeCache>
              </c15:datalabelsRange>
            </c:ext>
          </c:extLst>
        </c:ser>
        <c:ser>
          <c:idx val="0"/>
          <c:order val="1"/>
          <c:tx>
            <c:strRef>
              <c:f>'项目基础资料-梁'!$K$1</c:f>
              <c:strCache>
                <c:ptCount val="1"/>
                <c:pt idx="0">
                  <c:v>结束-计划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5.837703058030503E-2"/>
                  <c:y val="4.0876917043573976E-2"/>
                </c:manualLayout>
              </c:layout>
              <c:tx>
                <c:rich>
                  <a:bodyPr/>
                  <a:lstStyle/>
                  <a:p>
                    <a:fld id="{84898F64-16B6-48B5-8C21-E25EDBC371B0}" type="CELLRANGE">
                      <a:rPr lang="en-US" altLang="zh-CN"/>
                      <a:pPr/>
                      <a:t>[CELLRANGE]</a:t>
                    </a:fld>
                    <a:endParaRPr lang="zh-CN" alt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D9E8-4564-83B6-D8DC418D8F77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5.7042411499870424E-2"/>
                  <c:y val="5.1027621482092743E-2"/>
                </c:manualLayout>
              </c:layout>
              <c:tx>
                <c:rich>
                  <a:bodyPr/>
                  <a:lstStyle/>
                  <a:p>
                    <a:fld id="{7DED2C24-5BF6-4607-A0FE-7A241E94DA92}" type="CELLRANGE">
                      <a:rPr lang="en-US" altLang="zh-CN"/>
                      <a:pPr/>
                      <a:t>[CELLRANGE]</a:t>
                    </a:fld>
                    <a:endParaRPr lang="zh-CN" alt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D9E8-4564-83B6-D8DC418D8F77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5.7014914376186346E-2"/>
                  <c:y val="5.0956044608446868E-2"/>
                </c:manualLayout>
              </c:layout>
              <c:tx>
                <c:rich>
                  <a:bodyPr/>
                  <a:lstStyle/>
                  <a:p>
                    <a:fld id="{AC6B9CB3-21C5-419B-970B-3F03BDFF0602}" type="CELLRANGE">
                      <a:rPr lang="en-US" altLang="zh-CN"/>
                      <a:pPr/>
                      <a:t>[CELLRANGE]</a:t>
                    </a:fld>
                    <a:endParaRPr lang="zh-CN" alt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D9E8-4564-83B6-D8DC418D8F77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3"/>
              <c:layout>
                <c:manualLayout>
                  <c:x val="-5.8450391632296143E-2"/>
                  <c:y val="5.140222941893121E-2"/>
                </c:manualLayout>
              </c:layout>
              <c:tx>
                <c:rich>
                  <a:bodyPr/>
                  <a:lstStyle/>
                  <a:p>
                    <a:fld id="{7730ACB7-4BD1-47BA-BBD9-5C5E398EE79B}" type="CELLRANGE">
                      <a:rPr lang="en-US" altLang="zh-CN"/>
                      <a:pPr/>
                      <a:t>[CELLRANGE]</a:t>
                    </a:fld>
                    <a:endParaRPr lang="zh-CN" alt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D9E8-4564-83B6-D8DC418D8F77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"/>
              <c:layout>
                <c:manualLayout>
                  <c:x val="-5.9794141031791974E-2"/>
                  <c:y val="6.4040230216645427E-2"/>
                </c:manualLayout>
              </c:layout>
              <c:tx>
                <c:rich>
                  <a:bodyPr/>
                  <a:lstStyle/>
                  <a:p>
                    <a:fld id="{7A4C9C3E-9038-42A2-A9D7-195332FD3CFD}" type="CELLRANGE">
                      <a:rPr lang="en-US" altLang="zh-CN"/>
                      <a:pPr/>
                      <a:t>[CELLRANGE]</a:t>
                    </a:fld>
                    <a:endParaRPr lang="zh-CN" alt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D9E8-4564-83B6-D8DC418D8F77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"/>
              <c:layout>
                <c:manualLayout>
                  <c:x val="-5.9794141031791974E-2"/>
                  <c:y val="5.2213824203519138E-2"/>
                </c:manualLayout>
              </c:layout>
              <c:tx>
                <c:rich>
                  <a:bodyPr/>
                  <a:lstStyle/>
                  <a:p>
                    <a:fld id="{5B38682A-62AA-47B3-8236-AD2DC1BC580C}" type="CELLRANGE">
                      <a:rPr lang="en-US" altLang="zh-CN"/>
                      <a:pPr/>
                      <a:t>[CELLRANGE]</a:t>
                    </a:fld>
                    <a:endParaRPr lang="zh-CN" alt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D9E8-4564-83B6-D8DC418D8F77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'项目基础资料-梁'!$J$2:$J$7</c:f>
              <c:strCache>
                <c:ptCount val="6"/>
                <c:pt idx="0">
                  <c:v>设计开发</c:v>
                </c:pt>
                <c:pt idx="1">
                  <c:v>采购打样</c:v>
                </c:pt>
                <c:pt idx="2">
                  <c:v>调试</c:v>
                </c:pt>
                <c:pt idx="3">
                  <c:v>测试</c:v>
                </c:pt>
                <c:pt idx="4">
                  <c:v>样机</c:v>
                </c:pt>
                <c:pt idx="5">
                  <c:v>资料移交</c:v>
                </c:pt>
              </c:strCache>
            </c:strRef>
          </c:cat>
          <c:val>
            <c:numRef>
              <c:f>'项目基础资料-梁'!$K$2:$K$7</c:f>
              <c:numCache>
                <c:formatCode>_(* #,##0.00_);_(* \(#,##0.00\);_(* "-"??_);_(@_)</c:formatCode>
                <c:ptCount val="6"/>
                <c:pt idx="0">
                  <c:v>337</c:v>
                </c:pt>
                <c:pt idx="1">
                  <c:v>355</c:v>
                </c:pt>
                <c:pt idx="2">
                  <c:v>360</c:v>
                </c:pt>
                <c:pt idx="3">
                  <c:v>374</c:v>
                </c:pt>
                <c:pt idx="4">
                  <c:v>390</c:v>
                </c:pt>
                <c:pt idx="5">
                  <c:v>393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D9E8-4564-83B6-D8DC418D8F77}"/>
            </c:ext>
            <c:ext xmlns:c15="http://schemas.microsoft.com/office/drawing/2012/chart" uri="{02D57815-91ED-43cb-92C2-25804820EDAC}">
              <c15:datalabelsRange>
                <c15:f>'项目基础资料-梁'!$H$2:$H$7</c15:f>
                <c15:dlblRangeCache>
                  <c:ptCount val="6"/>
                  <c:pt idx="0">
                    <c:v>2017/12/4</c:v>
                  </c:pt>
                  <c:pt idx="1">
                    <c:v>2017/12/22</c:v>
                  </c:pt>
                  <c:pt idx="2">
                    <c:v>2017/12/27</c:v>
                  </c:pt>
                  <c:pt idx="3">
                    <c:v>2018/1/10</c:v>
                  </c:pt>
                  <c:pt idx="4">
                    <c:v>2018/1/26</c:v>
                  </c:pt>
                  <c:pt idx="5">
                    <c:v>2018/1/29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0"/>
        <c:overlap val="100"/>
        <c:axId val="169991688"/>
        <c:axId val="169992080"/>
      </c:barChart>
      <c:catAx>
        <c:axId val="169991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7030A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9992080"/>
        <c:crosses val="autoZero"/>
        <c:auto val="1"/>
        <c:lblAlgn val="ctr"/>
        <c:lblOffset val="100"/>
        <c:noMultiLvlLbl val="0"/>
      </c:catAx>
      <c:valAx>
        <c:axId val="169992080"/>
        <c:scaling>
          <c:logBase val="2"/>
          <c:orientation val="minMax"/>
          <c:max val="600"/>
          <c:min val="4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crossAx val="169991688"/>
        <c:crosses val="autoZero"/>
        <c:crossBetween val="between"/>
        <c:majorUnit val="2"/>
        <c:minorUnit val="2"/>
      </c:valAx>
      <c:spPr>
        <a:solidFill>
          <a:schemeClr val="accent5">
            <a:lumMod val="40000"/>
            <a:lumOff val="6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8803013540985734"/>
          <c:y val="1.8570980146925466E-2"/>
          <c:w val="0.19896813731141907"/>
          <c:h val="7.7532842011072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2</xdr:row>
      <xdr:rowOff>19050</xdr:rowOff>
    </xdr:from>
    <xdr:to>
      <xdr:col>4</xdr:col>
      <xdr:colOff>19050</xdr:colOff>
      <xdr:row>2</xdr:row>
      <xdr:rowOff>304800</xdr:rowOff>
    </xdr:to>
    <xdr:sp macro="" textlink="">
      <xdr:nvSpPr>
        <xdr:cNvPr id="2" name="圆角矩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00175" y="504825"/>
          <a:ext cx="229552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设计开发</a:t>
          </a:r>
        </a:p>
      </xdr:txBody>
    </xdr:sp>
    <xdr:clientData/>
  </xdr:twoCellAnchor>
  <xdr:twoCellAnchor>
    <xdr:from>
      <xdr:col>4</xdr:col>
      <xdr:colOff>66675</xdr:colOff>
      <xdr:row>2</xdr:row>
      <xdr:rowOff>19050</xdr:rowOff>
    </xdr:from>
    <xdr:to>
      <xdr:col>7</xdr:col>
      <xdr:colOff>304800</xdr:colOff>
      <xdr:row>2</xdr:row>
      <xdr:rowOff>304800</xdr:rowOff>
    </xdr:to>
    <xdr:sp macro="" textlink="">
      <xdr:nvSpPr>
        <xdr:cNvPr id="3" name="圆角矩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3743325" y="504825"/>
          <a:ext cx="229552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采购打样</a:t>
          </a:r>
        </a:p>
      </xdr:txBody>
    </xdr:sp>
    <xdr:clientData/>
  </xdr:twoCellAnchor>
  <xdr:twoCellAnchor>
    <xdr:from>
      <xdr:col>7</xdr:col>
      <xdr:colOff>381000</xdr:colOff>
      <xdr:row>2</xdr:row>
      <xdr:rowOff>19050</xdr:rowOff>
    </xdr:from>
    <xdr:to>
      <xdr:col>10</xdr:col>
      <xdr:colOff>619125</xdr:colOff>
      <xdr:row>2</xdr:row>
      <xdr:rowOff>304800</xdr:rowOff>
    </xdr:to>
    <xdr:sp macro="" textlink="">
      <xdr:nvSpPr>
        <xdr:cNvPr id="4" name="圆角矩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6115050" y="504825"/>
          <a:ext cx="229552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调试</a:t>
          </a:r>
        </a:p>
      </xdr:txBody>
    </xdr:sp>
    <xdr:clientData/>
  </xdr:twoCellAnchor>
  <xdr:twoCellAnchor>
    <xdr:from>
      <xdr:col>11</xdr:col>
      <xdr:colOff>0</xdr:colOff>
      <xdr:row>2</xdr:row>
      <xdr:rowOff>19050</xdr:rowOff>
    </xdr:from>
    <xdr:to>
      <xdr:col>14</xdr:col>
      <xdr:colOff>238125</xdr:colOff>
      <xdr:row>2</xdr:row>
      <xdr:rowOff>304800</xdr:rowOff>
    </xdr:to>
    <xdr:sp macro="" textlink="">
      <xdr:nvSpPr>
        <xdr:cNvPr id="5" name="圆角矩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477250" y="504825"/>
          <a:ext cx="229552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测试</a:t>
          </a:r>
        </a:p>
      </xdr:txBody>
    </xdr:sp>
    <xdr:clientData/>
  </xdr:twoCellAnchor>
  <xdr:twoCellAnchor>
    <xdr:from>
      <xdr:col>14</xdr:col>
      <xdr:colOff>304800</xdr:colOff>
      <xdr:row>2</xdr:row>
      <xdr:rowOff>9525</xdr:rowOff>
    </xdr:from>
    <xdr:to>
      <xdr:col>17</xdr:col>
      <xdr:colOff>542925</xdr:colOff>
      <xdr:row>2</xdr:row>
      <xdr:rowOff>295275</xdr:rowOff>
    </xdr:to>
    <xdr:sp macro="" textlink="">
      <xdr:nvSpPr>
        <xdr:cNvPr id="6" name="圆角矩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0839450" y="495300"/>
          <a:ext cx="229552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样机</a:t>
          </a:r>
        </a:p>
      </xdr:txBody>
    </xdr:sp>
    <xdr:clientData/>
  </xdr:twoCellAnchor>
  <xdr:twoCellAnchor>
    <xdr:from>
      <xdr:col>17</xdr:col>
      <xdr:colOff>638175</xdr:colOff>
      <xdr:row>2</xdr:row>
      <xdr:rowOff>0</xdr:rowOff>
    </xdr:from>
    <xdr:to>
      <xdr:col>21</xdr:col>
      <xdr:colOff>190500</xdr:colOff>
      <xdr:row>2</xdr:row>
      <xdr:rowOff>285750</xdr:rowOff>
    </xdr:to>
    <xdr:sp macro="" textlink="">
      <xdr:nvSpPr>
        <xdr:cNvPr id="7" name="圆角矩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230225" y="485775"/>
          <a:ext cx="229552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资料移交</a:t>
          </a:r>
          <a:endParaRPr lang="en-US" altLang="zh-CN" sz="1100"/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790575</xdr:colOff>
      <xdr:row>7</xdr:row>
      <xdr:rowOff>114300</xdr:rowOff>
    </xdr:to>
    <xdr:sp macro="" textlink="">
      <xdr:nvSpPr>
        <xdr:cNvPr id="8" name="圆角矩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1371600" y="1314450"/>
          <a:ext cx="229552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设计开发</a:t>
          </a:r>
        </a:p>
      </xdr:txBody>
    </xdr:sp>
    <xdr:clientData/>
  </xdr:twoCellAnchor>
  <xdr:twoCellAnchor>
    <xdr:from>
      <xdr:col>4</xdr:col>
      <xdr:colOff>57150</xdr:colOff>
      <xdr:row>6</xdr:row>
      <xdr:rowOff>0</xdr:rowOff>
    </xdr:from>
    <xdr:to>
      <xdr:col>7</xdr:col>
      <xdr:colOff>295275</xdr:colOff>
      <xdr:row>7</xdr:row>
      <xdr:rowOff>114300</xdr:rowOff>
    </xdr:to>
    <xdr:sp macro="" textlink="">
      <xdr:nvSpPr>
        <xdr:cNvPr id="9" name="圆角矩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3733800" y="1314450"/>
          <a:ext cx="229552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设计开发</a:t>
          </a:r>
        </a:p>
      </xdr:txBody>
    </xdr:sp>
    <xdr:clientData/>
  </xdr:twoCellAnchor>
  <xdr:twoCellAnchor>
    <xdr:from>
      <xdr:col>7</xdr:col>
      <xdr:colOff>361950</xdr:colOff>
      <xdr:row>6</xdr:row>
      <xdr:rowOff>9525</xdr:rowOff>
    </xdr:from>
    <xdr:to>
      <xdr:col>10</xdr:col>
      <xdr:colOff>600075</xdr:colOff>
      <xdr:row>7</xdr:row>
      <xdr:rowOff>123825</xdr:rowOff>
    </xdr:to>
    <xdr:sp macro="" textlink="">
      <xdr:nvSpPr>
        <xdr:cNvPr id="10" name="圆角矩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096000" y="1323975"/>
          <a:ext cx="229552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调试</a:t>
          </a:r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14</xdr:col>
      <xdr:colOff>238125</xdr:colOff>
      <xdr:row>7</xdr:row>
      <xdr:rowOff>114300</xdr:rowOff>
    </xdr:to>
    <xdr:sp macro="" textlink="">
      <xdr:nvSpPr>
        <xdr:cNvPr id="11" name="圆角矩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8477250" y="1314450"/>
          <a:ext cx="229552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测试</a:t>
          </a:r>
        </a:p>
      </xdr:txBody>
    </xdr:sp>
    <xdr:clientData/>
  </xdr:twoCellAnchor>
  <xdr:twoCellAnchor>
    <xdr:from>
      <xdr:col>14</xdr:col>
      <xdr:colOff>352425</xdr:colOff>
      <xdr:row>6</xdr:row>
      <xdr:rowOff>0</xdr:rowOff>
    </xdr:from>
    <xdr:to>
      <xdr:col>17</xdr:col>
      <xdr:colOff>590550</xdr:colOff>
      <xdr:row>7</xdr:row>
      <xdr:rowOff>114300</xdr:rowOff>
    </xdr:to>
    <xdr:sp macro="" textlink="">
      <xdr:nvSpPr>
        <xdr:cNvPr id="12" name="圆角矩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10887075" y="1314450"/>
          <a:ext cx="229552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样机</a:t>
          </a:r>
        </a:p>
      </xdr:txBody>
    </xdr:sp>
    <xdr:clientData/>
  </xdr:twoCellAnchor>
  <xdr:twoCellAnchor>
    <xdr:from>
      <xdr:col>18</xdr:col>
      <xdr:colOff>0</xdr:colOff>
      <xdr:row>6</xdr:row>
      <xdr:rowOff>0</xdr:rowOff>
    </xdr:from>
    <xdr:to>
      <xdr:col>21</xdr:col>
      <xdr:colOff>238125</xdr:colOff>
      <xdr:row>7</xdr:row>
      <xdr:rowOff>114300</xdr:rowOff>
    </xdr:to>
    <xdr:sp macro="" textlink="">
      <xdr:nvSpPr>
        <xdr:cNvPr id="13" name="圆角矩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13277850" y="1314450"/>
          <a:ext cx="229552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资料移交</a:t>
          </a:r>
          <a:endParaRPr lang="en-US" altLang="zh-C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6</xdr:row>
      <xdr:rowOff>42333</xdr:rowOff>
    </xdr:from>
    <xdr:to>
      <xdr:col>9</xdr:col>
      <xdr:colOff>158749</xdr:colOff>
      <xdr:row>28</xdr:row>
      <xdr:rowOff>95251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400050</xdr:colOff>
          <xdr:row>2</xdr:row>
          <xdr:rowOff>19050</xdr:rowOff>
        </xdr:from>
        <xdr:to>
          <xdr:col>16</xdr:col>
          <xdr:colOff>95250</xdr:colOff>
          <xdr:row>3</xdr:row>
          <xdr:rowOff>57150</xdr:rowOff>
        </xdr:to>
        <xdr:sp macro="" textlink="">
          <xdr:nvSpPr>
            <xdr:cNvPr id="3074" name="按钮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&#30740;&#21457;&#19968;&#37096;&#36164;&#26009;\&#30740;&#21457;&#19968;&#37096;&#39033;&#30446;&#29366;&#24577;&#34920;\&#39033;&#30446;&#36319;&#36827;\&#22806;&#38144;&#30740;&#21457;&#37096;&#39033;&#30446;&#36319;&#36827;&#34920;_&#26446;&#31283;_1711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周报"/>
      <sheetName val="2017年已完成"/>
      <sheetName val="数据"/>
      <sheetName val="所占比"/>
      <sheetName val="基础数据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id="1" name="表1" displayName="表1" ref="A1:A8" totalsRowShown="0" headerRowDxfId="6" dataDxfId="5" tableBorderDxfId="4">
  <autoFilter ref="A1:A8"/>
  <tableColumns count="1">
    <tableColumn id="1" name="项目名称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93"/>
  <sheetViews>
    <sheetView tabSelected="1" zoomScaleNormal="100" workbookViewId="0">
      <pane xSplit="14" ySplit="1" topLeftCell="O2" activePane="bottomRight" state="frozen"/>
      <selection pane="topRight" activeCell="N1" sqref="N1"/>
      <selection pane="bottomLeft" activeCell="A3" sqref="A3"/>
      <selection pane="bottomRight" activeCell="K98" sqref="K98"/>
    </sheetView>
  </sheetViews>
  <sheetFormatPr defaultRowHeight="13.5" x14ac:dyDescent="0.15"/>
  <cols>
    <col min="1" max="1" width="3.125" style="38" customWidth="1"/>
    <col min="2" max="2" width="14" customWidth="1"/>
    <col min="3" max="3" width="4.25" customWidth="1"/>
    <col min="4" max="4" width="7.25" style="6" customWidth="1"/>
    <col min="5" max="5" width="7" style="21" customWidth="1"/>
    <col min="6" max="6" width="13.25" customWidth="1"/>
    <col min="7" max="10" width="9" customWidth="1"/>
    <col min="11" max="11" width="7.625" customWidth="1"/>
    <col min="12" max="14" width="9" customWidth="1"/>
    <col min="17" max="17" width="9.625" customWidth="1"/>
    <col min="18" max="18" width="8.25" customWidth="1"/>
    <col min="19" max="19" width="8.625" customWidth="1"/>
    <col min="20" max="20" width="9" customWidth="1"/>
    <col min="21" max="21" width="30.125" customWidth="1"/>
    <col min="22" max="22" width="17" customWidth="1"/>
    <col min="23" max="23" width="4.25" customWidth="1"/>
  </cols>
  <sheetData>
    <row r="1" spans="1:25" ht="24" x14ac:dyDescent="0.15">
      <c r="A1" s="4" t="s">
        <v>0</v>
      </c>
      <c r="B1" s="2" t="s">
        <v>1</v>
      </c>
      <c r="C1" s="5" t="s">
        <v>10</v>
      </c>
      <c r="D1" s="2" t="s">
        <v>16</v>
      </c>
      <c r="E1" s="51" t="s">
        <v>189</v>
      </c>
      <c r="F1" s="2" t="s">
        <v>11</v>
      </c>
      <c r="G1" s="2" t="s">
        <v>2</v>
      </c>
      <c r="H1" s="2" t="s">
        <v>171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3</v>
      </c>
      <c r="N1" s="2" t="s">
        <v>4</v>
      </c>
      <c r="O1" s="2" t="s">
        <v>7</v>
      </c>
      <c r="P1" s="2" t="s">
        <v>15</v>
      </c>
      <c r="Q1" s="2" t="s">
        <v>13</v>
      </c>
      <c r="R1" s="2" t="s">
        <v>8</v>
      </c>
      <c r="S1" s="2" t="s">
        <v>6</v>
      </c>
      <c r="T1" s="2" t="s">
        <v>9</v>
      </c>
      <c r="U1" s="2" t="s">
        <v>5</v>
      </c>
      <c r="V1" s="3" t="s">
        <v>190</v>
      </c>
      <c r="W1" s="5" t="s">
        <v>12</v>
      </c>
      <c r="X1" s="1"/>
      <c r="Y1" s="38"/>
    </row>
    <row r="2" spans="1:25" ht="19.5" customHeight="1" x14ac:dyDescent="0.15">
      <c r="A2" s="89">
        <v>1</v>
      </c>
      <c r="B2" s="107" t="s">
        <v>101</v>
      </c>
      <c r="C2" s="109" t="s">
        <v>102</v>
      </c>
      <c r="D2" s="63" t="s">
        <v>103</v>
      </c>
      <c r="E2" s="52" t="s">
        <v>66</v>
      </c>
      <c r="F2" s="105">
        <v>42641</v>
      </c>
      <c r="G2" s="41" t="s">
        <v>104</v>
      </c>
      <c r="H2" s="41" t="s">
        <v>104</v>
      </c>
      <c r="I2" s="41" t="s">
        <v>104</v>
      </c>
      <c r="J2" s="41" t="s">
        <v>104</v>
      </c>
      <c r="K2" s="41" t="s">
        <v>104</v>
      </c>
      <c r="L2" s="41" t="s">
        <v>104</v>
      </c>
      <c r="M2" s="41" t="s">
        <v>104</v>
      </c>
      <c r="N2" s="41" t="s">
        <v>104</v>
      </c>
      <c r="O2" s="41">
        <v>42872</v>
      </c>
      <c r="P2" s="41"/>
      <c r="Q2" s="41">
        <v>42979</v>
      </c>
      <c r="R2" s="41">
        <v>42978</v>
      </c>
      <c r="S2" s="41">
        <v>42983</v>
      </c>
      <c r="T2" s="42">
        <v>43025</v>
      </c>
      <c r="U2" s="106" t="s">
        <v>177</v>
      </c>
      <c r="V2" s="106" t="s">
        <v>105</v>
      </c>
      <c r="W2" s="107"/>
      <c r="X2" s="38"/>
      <c r="Y2" s="38"/>
    </row>
    <row r="3" spans="1:25" ht="28.5" customHeight="1" x14ac:dyDescent="0.15">
      <c r="A3" s="90"/>
      <c r="B3" s="108"/>
      <c r="C3" s="108"/>
      <c r="D3" s="63" t="s">
        <v>103</v>
      </c>
      <c r="E3" s="52" t="s">
        <v>66</v>
      </c>
      <c r="F3" s="95"/>
      <c r="G3" s="41" t="s">
        <v>104</v>
      </c>
      <c r="H3" s="41" t="s">
        <v>104</v>
      </c>
      <c r="I3" s="41" t="s">
        <v>104</v>
      </c>
      <c r="J3" s="41" t="s">
        <v>104</v>
      </c>
      <c r="K3" s="41" t="s">
        <v>104</v>
      </c>
      <c r="L3" s="41" t="s">
        <v>104</v>
      </c>
      <c r="M3" s="41" t="s">
        <v>104</v>
      </c>
      <c r="N3" s="41" t="s">
        <v>104</v>
      </c>
      <c r="O3" s="41">
        <v>42964</v>
      </c>
      <c r="P3" s="41"/>
      <c r="Q3" s="41">
        <v>42979</v>
      </c>
      <c r="R3" s="41">
        <v>42978</v>
      </c>
      <c r="S3" s="41">
        <v>42985</v>
      </c>
      <c r="T3" s="39" t="str">
        <f ca="1">IF(T2="","注意",IF(T2=TODAY(),"预警",IF(T2&lt;TODAY(),"延期","")))</f>
        <v>延期</v>
      </c>
      <c r="U3" s="97"/>
      <c r="V3" s="97"/>
      <c r="W3" s="108"/>
      <c r="X3" s="38"/>
      <c r="Y3" s="38"/>
    </row>
    <row r="4" spans="1:25" ht="33" customHeight="1" x14ac:dyDescent="0.15">
      <c r="A4" s="90">
        <v>2</v>
      </c>
      <c r="B4" s="110" t="s">
        <v>106</v>
      </c>
      <c r="C4" s="109" t="s">
        <v>102</v>
      </c>
      <c r="D4" s="64" t="s">
        <v>107</v>
      </c>
      <c r="E4" s="52" t="s">
        <v>66</v>
      </c>
      <c r="F4" s="94">
        <v>42543</v>
      </c>
      <c r="G4" s="41">
        <v>42781</v>
      </c>
      <c r="H4" s="41">
        <v>42783</v>
      </c>
      <c r="I4" s="41">
        <v>42790</v>
      </c>
      <c r="J4" s="41">
        <v>42793</v>
      </c>
      <c r="K4" s="41">
        <v>42782</v>
      </c>
      <c r="L4" s="41">
        <v>42794</v>
      </c>
      <c r="M4" s="41">
        <v>42658</v>
      </c>
      <c r="N4" s="41">
        <v>42658</v>
      </c>
      <c r="O4" s="43">
        <v>42794</v>
      </c>
      <c r="P4" s="43"/>
      <c r="Q4" s="43">
        <v>42747</v>
      </c>
      <c r="R4" s="43">
        <v>42747</v>
      </c>
      <c r="S4" s="41">
        <v>42783</v>
      </c>
      <c r="T4" s="40">
        <v>42818</v>
      </c>
      <c r="U4" s="96"/>
      <c r="V4" s="96" t="s">
        <v>108</v>
      </c>
      <c r="W4" s="109">
        <v>1</v>
      </c>
      <c r="X4" s="38"/>
      <c r="Y4" s="38"/>
    </row>
    <row r="5" spans="1:25" ht="29.25" customHeight="1" x14ac:dyDescent="0.15">
      <c r="A5" s="90"/>
      <c r="B5" s="110"/>
      <c r="C5" s="108"/>
      <c r="D5" s="64" t="s">
        <v>107</v>
      </c>
      <c r="E5" s="52" t="s">
        <v>66</v>
      </c>
      <c r="F5" s="95"/>
      <c r="G5" s="41">
        <v>42781</v>
      </c>
      <c r="H5" s="41">
        <v>42783</v>
      </c>
      <c r="I5" s="41">
        <v>42790</v>
      </c>
      <c r="J5" s="41">
        <v>42794</v>
      </c>
      <c r="K5" s="41">
        <v>42782</v>
      </c>
      <c r="L5" s="41">
        <v>42796</v>
      </c>
      <c r="M5" s="41">
        <v>42658</v>
      </c>
      <c r="N5" s="41">
        <v>42660</v>
      </c>
      <c r="O5" s="43">
        <v>42807</v>
      </c>
      <c r="P5" s="43"/>
      <c r="Q5" s="43">
        <v>42747</v>
      </c>
      <c r="R5" s="43">
        <v>42747</v>
      </c>
      <c r="S5" s="41">
        <v>42787</v>
      </c>
      <c r="T5" s="39" t="str">
        <f ca="1">IF(T4="","注意",IF(T4=TODAY(),"预警",IF(T4&lt;TODAY(),"延期","")))</f>
        <v>延期</v>
      </c>
      <c r="U5" s="97"/>
      <c r="V5" s="97"/>
      <c r="W5" s="108"/>
      <c r="X5" s="38"/>
      <c r="Y5" s="38"/>
    </row>
    <row r="6" spans="1:25" ht="15" customHeight="1" x14ac:dyDescent="0.15">
      <c r="A6" s="90">
        <v>3</v>
      </c>
      <c r="B6" s="111" t="s">
        <v>109</v>
      </c>
      <c r="C6" s="109" t="s">
        <v>102</v>
      </c>
      <c r="D6" s="46" t="s">
        <v>110</v>
      </c>
      <c r="E6" s="52" t="s">
        <v>56</v>
      </c>
      <c r="F6" s="105">
        <v>42700</v>
      </c>
      <c r="G6" s="41">
        <v>42830</v>
      </c>
      <c r="H6" s="41">
        <v>42849</v>
      </c>
      <c r="I6" s="41">
        <v>42859</v>
      </c>
      <c r="J6" s="41">
        <v>42865</v>
      </c>
      <c r="K6" s="41">
        <v>42852</v>
      </c>
      <c r="L6" s="41">
        <v>42877</v>
      </c>
      <c r="M6" s="42"/>
      <c r="N6" s="42"/>
      <c r="O6" s="41">
        <v>42888</v>
      </c>
      <c r="P6" s="41">
        <v>43021</v>
      </c>
      <c r="Q6" s="42">
        <v>43069</v>
      </c>
      <c r="R6" s="42">
        <v>43068</v>
      </c>
      <c r="S6" s="42">
        <v>43070</v>
      </c>
      <c r="T6" s="42">
        <v>43108</v>
      </c>
      <c r="U6" s="106" t="s">
        <v>353</v>
      </c>
      <c r="V6" s="106" t="s">
        <v>111</v>
      </c>
      <c r="W6" s="107"/>
      <c r="X6" s="38"/>
      <c r="Y6" s="38"/>
    </row>
    <row r="7" spans="1:25" ht="36" customHeight="1" x14ac:dyDescent="0.15">
      <c r="A7" s="90"/>
      <c r="B7" s="112"/>
      <c r="C7" s="108"/>
      <c r="D7" s="46" t="s">
        <v>110</v>
      </c>
      <c r="E7" s="52" t="s">
        <v>193</v>
      </c>
      <c r="F7" s="95"/>
      <c r="G7" s="41">
        <v>42830</v>
      </c>
      <c r="H7" s="41">
        <v>42851</v>
      </c>
      <c r="I7" s="41">
        <v>42858</v>
      </c>
      <c r="J7" s="41">
        <v>42864</v>
      </c>
      <c r="K7" s="41">
        <v>42853</v>
      </c>
      <c r="L7" s="41">
        <v>42877</v>
      </c>
      <c r="M7" s="39" t="str">
        <f ca="1">IF(M6="","注意",IF(M6=TODAY(),"预警",IF(M6&lt;TODAY(),"延期","")))</f>
        <v>注意</v>
      </c>
      <c r="N7" s="39" t="str">
        <f ca="1">IF(N6="","注意",IF(N6=TODAY(),"预警",IF(N6&lt;TODAY(),"延期","")))</f>
        <v>注意</v>
      </c>
      <c r="O7" s="41">
        <v>42914</v>
      </c>
      <c r="P7" s="41">
        <v>43021</v>
      </c>
      <c r="Q7" s="39" t="str">
        <f ca="1">IF(Q6="","注意",IF(Q6=TODAY(),"预警",IF(Q6&lt;TODAY(),"延期","")))</f>
        <v/>
      </c>
      <c r="R7" s="39" t="str">
        <f ca="1">IF(R6="","注意",IF(R6=TODAY(),"预警",IF(R6&lt;TODAY(),"延期","")))</f>
        <v/>
      </c>
      <c r="S7" s="39" t="str">
        <f ca="1">IF(S6="","注意",IF(S6=TODAY(),"预警",IF(S6&lt;TODAY(),"延期","")))</f>
        <v/>
      </c>
      <c r="T7" s="39" t="str">
        <f ca="1">IF(T6="","注意",IF(T6=TODAY(),"预警",IF(T6&lt;TODAY(),"延期","")))</f>
        <v/>
      </c>
      <c r="U7" s="97"/>
      <c r="V7" s="97"/>
      <c r="W7" s="108"/>
      <c r="X7" s="38"/>
      <c r="Y7" s="38"/>
    </row>
    <row r="8" spans="1:25" ht="21.75" customHeight="1" x14ac:dyDescent="0.15">
      <c r="A8" s="90">
        <v>4</v>
      </c>
      <c r="B8" s="113" t="s">
        <v>112</v>
      </c>
      <c r="C8" s="109" t="s">
        <v>102</v>
      </c>
      <c r="D8" s="46" t="s">
        <v>110</v>
      </c>
      <c r="E8" s="52" t="s">
        <v>56</v>
      </c>
      <c r="F8" s="105">
        <v>42741</v>
      </c>
      <c r="G8" s="41">
        <v>42826</v>
      </c>
      <c r="H8" s="41">
        <v>42844</v>
      </c>
      <c r="I8" s="41">
        <v>42851</v>
      </c>
      <c r="J8" s="66">
        <v>43046</v>
      </c>
      <c r="K8" s="41">
        <v>42849</v>
      </c>
      <c r="L8" s="41">
        <v>42864</v>
      </c>
      <c r="M8" s="39"/>
      <c r="N8" s="39"/>
      <c r="O8" s="66">
        <v>43048</v>
      </c>
      <c r="P8" s="41">
        <v>43033</v>
      </c>
      <c r="Q8" s="67">
        <v>43077</v>
      </c>
      <c r="R8" s="67">
        <v>43091</v>
      </c>
      <c r="S8" s="67">
        <v>43091</v>
      </c>
      <c r="T8" s="67">
        <v>43127</v>
      </c>
      <c r="U8" s="106" t="s">
        <v>352</v>
      </c>
      <c r="V8" s="106" t="s">
        <v>113</v>
      </c>
      <c r="W8" s="107"/>
      <c r="X8" s="38"/>
      <c r="Y8" s="38"/>
    </row>
    <row r="9" spans="1:25" ht="21.75" customHeight="1" x14ac:dyDescent="0.15">
      <c r="A9" s="90"/>
      <c r="B9" s="113"/>
      <c r="C9" s="108"/>
      <c r="D9" s="46" t="s">
        <v>110</v>
      </c>
      <c r="E9" s="52" t="s">
        <v>193</v>
      </c>
      <c r="F9" s="95"/>
      <c r="G9" s="41">
        <v>42826</v>
      </c>
      <c r="H9" s="41">
        <v>42845</v>
      </c>
      <c r="I9" s="41">
        <v>42871</v>
      </c>
      <c r="J9" s="41">
        <v>43046</v>
      </c>
      <c r="K9" s="41">
        <v>42860</v>
      </c>
      <c r="L9" s="41">
        <v>42882</v>
      </c>
      <c r="M9" s="39" t="str">
        <f ca="1">IF(M8="","注意",IF(M8=TODAY(),"预警",IF(M8&lt;TODAY(),"延期","")))</f>
        <v>注意</v>
      </c>
      <c r="N9" s="39" t="str">
        <f ca="1">IF(N8="","注意",IF(N8=TODAY(),"预警",IF(N8&lt;TODAY(),"延期","")))</f>
        <v>注意</v>
      </c>
      <c r="O9" s="66">
        <v>43048</v>
      </c>
      <c r="P9" s="41">
        <v>43031</v>
      </c>
      <c r="Q9" s="39" t="str">
        <f ca="1">IF(Q8="","注意",IF(Q8=TODAY(),"预警",IF(Q8&lt;TODAY(),"延期","")))</f>
        <v/>
      </c>
      <c r="R9" s="39" t="str">
        <f ca="1">IF(R8="","注意",IF(R8=TODAY(),"预警",IF(R8&lt;TODAY(),"延期","")))</f>
        <v/>
      </c>
      <c r="S9" s="39" t="str">
        <f ca="1">IF(S8="","注意",IF(S8=TODAY(),"预警",IF(S8&lt;TODAY(),"延期","")))</f>
        <v/>
      </c>
      <c r="T9" s="39" t="str">
        <f ca="1">IF(T8="","注意",IF(T8=TODAY(),"预警",IF(T8&lt;TODAY(),"延期","")))</f>
        <v/>
      </c>
      <c r="U9" s="106"/>
      <c r="V9" s="97"/>
      <c r="W9" s="108"/>
      <c r="X9" s="38"/>
      <c r="Y9" s="38"/>
    </row>
    <row r="10" spans="1:25" ht="21.75" customHeight="1" x14ac:dyDescent="0.15">
      <c r="A10" s="89">
        <v>5</v>
      </c>
      <c r="B10" s="113" t="s">
        <v>114</v>
      </c>
      <c r="C10" s="109" t="s">
        <v>102</v>
      </c>
      <c r="D10" s="45" t="s">
        <v>110</v>
      </c>
      <c r="E10" s="54" t="s">
        <v>55</v>
      </c>
      <c r="F10" s="105">
        <v>42741</v>
      </c>
      <c r="G10" s="41">
        <v>42818</v>
      </c>
      <c r="H10" s="41">
        <v>42837</v>
      </c>
      <c r="I10" s="41">
        <v>42846</v>
      </c>
      <c r="J10" s="66">
        <v>43046</v>
      </c>
      <c r="K10" s="41">
        <v>42864</v>
      </c>
      <c r="L10" s="41">
        <v>42882</v>
      </c>
      <c r="M10" s="39"/>
      <c r="N10" s="39"/>
      <c r="O10" s="67">
        <v>43067</v>
      </c>
      <c r="P10" s="41">
        <v>43033</v>
      </c>
      <c r="Q10" s="67">
        <v>43084</v>
      </c>
      <c r="R10" s="67">
        <v>43089</v>
      </c>
      <c r="S10" s="67">
        <v>43089</v>
      </c>
      <c r="T10" s="67">
        <v>43125</v>
      </c>
      <c r="U10" s="106"/>
      <c r="V10" s="106" t="s">
        <v>113</v>
      </c>
      <c r="W10" s="107"/>
      <c r="X10" s="38"/>
      <c r="Y10" s="38"/>
    </row>
    <row r="11" spans="1:25" ht="21.75" customHeight="1" x14ac:dyDescent="0.15">
      <c r="A11" s="90"/>
      <c r="B11" s="113"/>
      <c r="C11" s="108"/>
      <c r="D11" s="45" t="s">
        <v>110</v>
      </c>
      <c r="E11" s="54" t="s">
        <v>55</v>
      </c>
      <c r="F11" s="95"/>
      <c r="G11" s="41">
        <v>42817</v>
      </c>
      <c r="H11" s="41">
        <v>42837</v>
      </c>
      <c r="I11" s="41">
        <v>42845</v>
      </c>
      <c r="J11" s="66">
        <v>43046</v>
      </c>
      <c r="K11" s="41">
        <v>42850</v>
      </c>
      <c r="L11" s="41">
        <v>42882</v>
      </c>
      <c r="M11" s="39" t="str">
        <f ca="1">IF(M10="","注意",IF(M10=TODAY(),"预警",IF(M10&lt;TODAY(),"延期","")))</f>
        <v>注意</v>
      </c>
      <c r="N11" s="39" t="str">
        <f ca="1">IF(N10="","注意",IF(N10=TODAY(),"预警",IF(N10&lt;TODAY(),"延期","")))</f>
        <v>注意</v>
      </c>
      <c r="O11" s="39" t="str">
        <f ca="1">IF(O10="","注意",IF(O10=TODAY(),"预警",IF(O10&lt;TODAY(),"延期","")))</f>
        <v/>
      </c>
      <c r="P11" s="41">
        <v>43031</v>
      </c>
      <c r="Q11" s="39" t="str">
        <f ca="1">IF(Q10="","注意",IF(Q10=TODAY(),"预警",IF(Q10&lt;TODAY(),"延期","")))</f>
        <v/>
      </c>
      <c r="R11" s="39" t="str">
        <f ca="1">IF(R10="","注意",IF(R10=TODAY(),"预警",IF(R10&lt;TODAY(),"延期","")))</f>
        <v/>
      </c>
      <c r="S11" s="39" t="str">
        <f ca="1">IF(S10="","注意",IF(S10=TODAY(),"预警",IF(S10&lt;TODAY(),"延期","")))</f>
        <v/>
      </c>
      <c r="T11" s="39" t="str">
        <f ca="1">IF(T10="","注意",IF(T10=TODAY(),"预警",IF(T10&lt;TODAY(),"延期","")))</f>
        <v/>
      </c>
      <c r="U11" s="97"/>
      <c r="V11" s="97"/>
      <c r="W11" s="108"/>
      <c r="X11" s="38"/>
      <c r="Y11" s="38"/>
    </row>
    <row r="12" spans="1:25" ht="31.5" customHeight="1" x14ac:dyDescent="0.15">
      <c r="A12" s="89">
        <v>6</v>
      </c>
      <c r="B12" s="91" t="s">
        <v>328</v>
      </c>
      <c r="C12" s="104" t="s">
        <v>72</v>
      </c>
      <c r="D12" s="45" t="s">
        <v>103</v>
      </c>
      <c r="E12" s="54" t="s">
        <v>66</v>
      </c>
      <c r="F12" s="105">
        <v>42880</v>
      </c>
      <c r="G12" s="41">
        <v>42983</v>
      </c>
      <c r="H12" s="41">
        <v>42986</v>
      </c>
      <c r="I12" s="41">
        <v>42996</v>
      </c>
      <c r="J12" s="41">
        <v>43000</v>
      </c>
      <c r="K12" s="41">
        <v>42985</v>
      </c>
      <c r="L12" s="41">
        <v>43000</v>
      </c>
      <c r="M12" s="39"/>
      <c r="N12" s="39"/>
      <c r="O12" s="41">
        <v>43007</v>
      </c>
      <c r="P12" s="41">
        <v>43004</v>
      </c>
      <c r="Q12" s="41">
        <v>43032</v>
      </c>
      <c r="R12" s="41">
        <v>43047</v>
      </c>
      <c r="S12" s="88">
        <v>43055</v>
      </c>
      <c r="T12" s="39">
        <v>43094</v>
      </c>
      <c r="U12" s="106" t="s">
        <v>334</v>
      </c>
      <c r="V12" s="106" t="s">
        <v>115</v>
      </c>
      <c r="W12" s="104"/>
      <c r="X12" s="38"/>
      <c r="Y12" s="38"/>
    </row>
    <row r="13" spans="1:25" ht="31.5" customHeight="1" x14ac:dyDescent="0.15">
      <c r="A13" s="90"/>
      <c r="B13" s="91"/>
      <c r="C13" s="93"/>
      <c r="D13" s="45" t="s">
        <v>103</v>
      </c>
      <c r="E13" s="54" t="s">
        <v>66</v>
      </c>
      <c r="F13" s="95"/>
      <c r="G13" s="41">
        <v>42983</v>
      </c>
      <c r="H13" s="41">
        <v>42986</v>
      </c>
      <c r="I13" s="41">
        <v>42992</v>
      </c>
      <c r="J13" s="41">
        <v>42996</v>
      </c>
      <c r="K13" s="41">
        <v>42985</v>
      </c>
      <c r="L13" s="41">
        <v>43000</v>
      </c>
      <c r="M13" s="39" t="str">
        <f ca="1">IF(M12="","注意",IF(M12=TODAY(),"预警",IF(M12&lt;TODAY(),"延期","")))</f>
        <v>注意</v>
      </c>
      <c r="N13" s="39" t="str">
        <f ca="1">IF(N12="","注意",IF(N12=TODAY(),"预警",IF(N12&lt;TODAY(),"延期","")))</f>
        <v>注意</v>
      </c>
      <c r="O13" s="41">
        <v>42999</v>
      </c>
      <c r="P13" s="41">
        <v>43004</v>
      </c>
      <c r="Q13" s="41">
        <v>43033</v>
      </c>
      <c r="R13" s="41">
        <v>43055</v>
      </c>
      <c r="S13" s="88">
        <v>43059</v>
      </c>
      <c r="T13" s="39" t="str">
        <f ca="1">IF(T12="","注意",IF(T12=TODAY(),"预警",IF(T12&lt;TODAY(),"延期","")))</f>
        <v/>
      </c>
      <c r="U13" s="97"/>
      <c r="V13" s="97"/>
      <c r="W13" s="93"/>
      <c r="X13" s="38"/>
      <c r="Y13" s="38"/>
    </row>
    <row r="14" spans="1:25" ht="21.75" customHeight="1" x14ac:dyDescent="0.15">
      <c r="A14" s="90">
        <v>7</v>
      </c>
      <c r="B14" s="91" t="s">
        <v>371</v>
      </c>
      <c r="C14" s="104" t="s">
        <v>72</v>
      </c>
      <c r="D14" s="45" t="s">
        <v>103</v>
      </c>
      <c r="E14" s="54" t="s">
        <v>55</v>
      </c>
      <c r="F14" s="105">
        <v>42863</v>
      </c>
      <c r="G14" s="41">
        <v>42867</v>
      </c>
      <c r="H14" s="41">
        <v>42874</v>
      </c>
      <c r="I14" s="41">
        <v>42879</v>
      </c>
      <c r="J14" s="41">
        <v>42886</v>
      </c>
      <c r="K14" s="41">
        <v>42871</v>
      </c>
      <c r="L14" s="41">
        <v>42888</v>
      </c>
      <c r="M14" s="39"/>
      <c r="N14" s="39"/>
      <c r="O14" s="39">
        <v>43069</v>
      </c>
      <c r="P14" s="41">
        <v>43075</v>
      </c>
      <c r="Q14" s="39">
        <v>43091</v>
      </c>
      <c r="R14" s="39">
        <v>43105</v>
      </c>
      <c r="S14" s="39">
        <v>43108</v>
      </c>
      <c r="T14" s="40">
        <v>43084</v>
      </c>
      <c r="U14" s="106" t="s">
        <v>335</v>
      </c>
      <c r="V14" s="106" t="s">
        <v>116</v>
      </c>
      <c r="W14" s="107"/>
      <c r="X14" s="38"/>
      <c r="Y14" s="38"/>
    </row>
    <row r="15" spans="1:25" ht="21.75" customHeight="1" x14ac:dyDescent="0.15">
      <c r="A15" s="90"/>
      <c r="B15" s="91"/>
      <c r="C15" s="93"/>
      <c r="D15" s="45" t="s">
        <v>103</v>
      </c>
      <c r="E15" s="54" t="s">
        <v>55</v>
      </c>
      <c r="F15" s="95"/>
      <c r="G15" s="41">
        <v>42867</v>
      </c>
      <c r="H15" s="41">
        <v>42874</v>
      </c>
      <c r="I15" s="41">
        <v>42879</v>
      </c>
      <c r="J15" s="41">
        <v>42886</v>
      </c>
      <c r="K15" s="41">
        <v>42871</v>
      </c>
      <c r="L15" s="41">
        <v>42888</v>
      </c>
      <c r="M15" s="39" t="str">
        <f ca="1">IF(M14="","注意",IF(M14=TODAY(),"预警",IF(M14&lt;TODAY(),"延期","")))</f>
        <v>注意</v>
      </c>
      <c r="N15" s="39" t="str">
        <f ca="1">IF(N14="","注意",IF(N14=TODAY(),"预警",IF(N14&lt;TODAY(),"延期","")))</f>
        <v>注意</v>
      </c>
      <c r="O15" s="39" t="str">
        <f ca="1">IF(O14="","注意",IF(O14=TODAY(),"预警",IF(O14&lt;TODAY(),"延期","")))</f>
        <v/>
      </c>
      <c r="P15" s="41">
        <v>43041</v>
      </c>
      <c r="Q15" s="39" t="str">
        <f ca="1">IF(Q14="","注意",IF(Q14=TODAY(),"预警",IF(Q14&lt;TODAY(),"延期","")))</f>
        <v/>
      </c>
      <c r="R15" s="39" t="str">
        <f ca="1">IF(R14="","注意",IF(R14=TODAY(),"预警",IF(R14&lt;TODAY(),"延期","")))</f>
        <v/>
      </c>
      <c r="S15" s="39" t="str">
        <f ca="1">IF(S14="","注意",IF(S14=TODAY(),"预警",IF(S14&lt;TODAY(),"延期","")))</f>
        <v/>
      </c>
      <c r="T15" s="39" t="str">
        <f ca="1">IF(T14="","注意",IF(T14=TODAY(),"预警",IF(T14&lt;TODAY(),"延期","")))</f>
        <v/>
      </c>
      <c r="U15" s="97"/>
      <c r="V15" s="97"/>
      <c r="W15" s="108"/>
      <c r="X15" s="38"/>
      <c r="Y15" s="38"/>
    </row>
    <row r="16" spans="1:25" ht="37.5" customHeight="1" x14ac:dyDescent="0.15">
      <c r="A16" s="89">
        <v>8</v>
      </c>
      <c r="B16" s="91" t="s">
        <v>117</v>
      </c>
      <c r="C16" s="104" t="s">
        <v>72</v>
      </c>
      <c r="D16" s="45" t="s">
        <v>103</v>
      </c>
      <c r="E16" s="54" t="s">
        <v>66</v>
      </c>
      <c r="F16" s="105">
        <v>42863</v>
      </c>
      <c r="G16" s="41">
        <v>42867</v>
      </c>
      <c r="H16" s="41">
        <v>42874</v>
      </c>
      <c r="I16" s="41">
        <v>42879</v>
      </c>
      <c r="J16" s="41">
        <v>42884</v>
      </c>
      <c r="K16" s="41">
        <v>42867</v>
      </c>
      <c r="L16" s="41">
        <v>42886</v>
      </c>
      <c r="M16" s="39"/>
      <c r="N16" s="39"/>
      <c r="O16" s="41">
        <v>42947</v>
      </c>
      <c r="P16" s="41">
        <v>43055</v>
      </c>
      <c r="Q16" s="41">
        <v>42989</v>
      </c>
      <c r="R16" s="41">
        <v>43003</v>
      </c>
      <c r="S16" s="41">
        <v>43006</v>
      </c>
      <c r="T16" s="40">
        <v>43049</v>
      </c>
      <c r="U16" s="106"/>
      <c r="V16" s="106" t="s">
        <v>116</v>
      </c>
      <c r="W16" s="107"/>
      <c r="X16" s="38"/>
      <c r="Y16" s="38"/>
    </row>
    <row r="17" spans="1:25" ht="37.5" customHeight="1" x14ac:dyDescent="0.15">
      <c r="A17" s="90"/>
      <c r="B17" s="91"/>
      <c r="C17" s="93"/>
      <c r="D17" s="45" t="s">
        <v>103</v>
      </c>
      <c r="E17" s="52" t="s">
        <v>66</v>
      </c>
      <c r="F17" s="95"/>
      <c r="G17" s="41">
        <v>42867</v>
      </c>
      <c r="H17" s="41">
        <v>42874</v>
      </c>
      <c r="I17" s="41">
        <v>42879</v>
      </c>
      <c r="J17" s="41">
        <v>42886</v>
      </c>
      <c r="K17" s="41">
        <v>42871</v>
      </c>
      <c r="L17" s="41">
        <v>42888</v>
      </c>
      <c r="M17" s="39" t="str">
        <f ca="1">IF(M16="","注意",IF(M16=TODAY(),"预警",IF(M16&lt;TODAY(),"延期","")))</f>
        <v>注意</v>
      </c>
      <c r="N17" s="39" t="str">
        <f ca="1">IF(N16="","注意",IF(N16=TODAY(),"预警",IF(N16&lt;TODAY(),"延期","")))</f>
        <v>注意</v>
      </c>
      <c r="O17" s="41">
        <v>42951</v>
      </c>
      <c r="P17" s="41">
        <v>43035</v>
      </c>
      <c r="Q17" s="41">
        <v>42989</v>
      </c>
      <c r="R17" s="41">
        <v>43027</v>
      </c>
      <c r="S17" s="41">
        <v>43035</v>
      </c>
      <c r="T17" s="39" t="str">
        <f ca="1">IF(T16="","注意",IF(T16=TODAY(),"预警",IF(T16&lt;TODAY(),"延期","")))</f>
        <v>延期</v>
      </c>
      <c r="U17" s="97"/>
      <c r="V17" s="97"/>
      <c r="W17" s="108"/>
      <c r="X17" s="38"/>
      <c r="Y17" s="38"/>
    </row>
    <row r="18" spans="1:25" ht="48" customHeight="1" x14ac:dyDescent="0.15">
      <c r="A18" s="90">
        <v>9</v>
      </c>
      <c r="B18" s="91" t="s">
        <v>118</v>
      </c>
      <c r="C18" s="109" t="s">
        <v>102</v>
      </c>
      <c r="D18" s="45" t="s">
        <v>110</v>
      </c>
      <c r="E18" s="52" t="s">
        <v>55</v>
      </c>
      <c r="F18" s="105">
        <v>42845</v>
      </c>
      <c r="G18" s="41">
        <v>42851</v>
      </c>
      <c r="H18" s="41">
        <v>42859</v>
      </c>
      <c r="I18" s="41">
        <v>42867</v>
      </c>
      <c r="J18" s="66">
        <v>43061</v>
      </c>
      <c r="K18" s="41">
        <v>42866</v>
      </c>
      <c r="L18" s="41">
        <v>42882</v>
      </c>
      <c r="M18" s="39"/>
      <c r="N18" s="39"/>
      <c r="O18" s="67">
        <v>43069</v>
      </c>
      <c r="P18" s="41">
        <v>43040</v>
      </c>
      <c r="Q18" s="68">
        <v>43077</v>
      </c>
      <c r="R18" s="68">
        <v>43084</v>
      </c>
      <c r="S18" s="68">
        <v>43084</v>
      </c>
      <c r="T18" s="68">
        <v>43120</v>
      </c>
      <c r="U18" s="106" t="s">
        <v>336</v>
      </c>
      <c r="V18" s="106" t="s">
        <v>119</v>
      </c>
      <c r="W18" s="107"/>
      <c r="X18" s="38"/>
      <c r="Y18" s="38"/>
    </row>
    <row r="19" spans="1:25" ht="48" customHeight="1" x14ac:dyDescent="0.15">
      <c r="A19" s="90"/>
      <c r="B19" s="91"/>
      <c r="C19" s="108"/>
      <c r="D19" s="45" t="s">
        <v>110</v>
      </c>
      <c r="E19" s="52" t="s">
        <v>55</v>
      </c>
      <c r="F19" s="95"/>
      <c r="G19" s="41">
        <v>42851</v>
      </c>
      <c r="H19" s="41">
        <v>42859</v>
      </c>
      <c r="I19" s="41">
        <v>42866</v>
      </c>
      <c r="J19" s="39" t="str">
        <f ca="1">IF(J18="","注意",IF(J18=TODAY(),"预警",IF(J18&lt;TODAY(),"延期","")))</f>
        <v>延期</v>
      </c>
      <c r="K19" s="41">
        <v>42864</v>
      </c>
      <c r="L19" s="41">
        <v>42887</v>
      </c>
      <c r="M19" s="39" t="str">
        <f ca="1">IF(M18="","注意",IF(M18=TODAY(),"预警",IF(M18&lt;TODAY(),"延期","")))</f>
        <v>注意</v>
      </c>
      <c r="N19" s="39" t="str">
        <f ca="1">IF(N18="","注意",IF(N18=TODAY(),"预警",IF(N18&lt;TODAY(),"延期","")))</f>
        <v>注意</v>
      </c>
      <c r="O19" s="39" t="str">
        <f ca="1">IF(O18="","注意",IF(O18=TODAY(),"预警",IF(O18&lt;TODAY(),"延期","")))</f>
        <v/>
      </c>
      <c r="P19" s="41">
        <v>43049</v>
      </c>
      <c r="Q19" s="68" t="str">
        <f ca="1">IF(Q18="","注意",IF(Q18=TODAY(),"预警",IF(Q18&lt;TODAY(),"延期","")))</f>
        <v/>
      </c>
      <c r="R19" s="68" t="str">
        <f ca="1">IF(R18="","注意",IF(R18=TODAY(),"预警",IF(R18&lt;TODAY(),"延期","")))</f>
        <v/>
      </c>
      <c r="S19" s="68" t="str">
        <f ca="1">IF(S18="","注意",IF(S18=TODAY(),"预警",IF(S18&lt;TODAY(),"延期","")))</f>
        <v/>
      </c>
      <c r="T19" s="68" t="str">
        <f ca="1">IF(T18="","注意",IF(T18=TODAY(),"预警",IF(T18&lt;TODAY(),"延期","")))</f>
        <v/>
      </c>
      <c r="U19" s="97"/>
      <c r="V19" s="97"/>
      <c r="W19" s="108"/>
      <c r="X19" s="38"/>
      <c r="Y19" s="38"/>
    </row>
    <row r="20" spans="1:25" ht="21.75" customHeight="1" x14ac:dyDescent="0.15">
      <c r="A20" s="89">
        <v>10</v>
      </c>
      <c r="B20" s="91" t="s">
        <v>120</v>
      </c>
      <c r="C20" s="92" t="s">
        <v>121</v>
      </c>
      <c r="D20" s="62" t="s">
        <v>110</v>
      </c>
      <c r="E20" s="52" t="s">
        <v>55</v>
      </c>
      <c r="F20" s="94">
        <v>42874</v>
      </c>
      <c r="G20" s="41">
        <v>42900</v>
      </c>
      <c r="H20" s="41">
        <v>42907</v>
      </c>
      <c r="I20" s="41">
        <v>42915</v>
      </c>
      <c r="J20" s="41">
        <v>42920</v>
      </c>
      <c r="K20" s="41">
        <v>42915</v>
      </c>
      <c r="L20" s="41">
        <v>42936</v>
      </c>
      <c r="M20" s="39"/>
      <c r="N20" s="39"/>
      <c r="O20" s="39">
        <v>42951</v>
      </c>
      <c r="P20" s="39">
        <v>42958</v>
      </c>
      <c r="Q20" s="39">
        <v>42978</v>
      </c>
      <c r="R20" s="39">
        <v>42993</v>
      </c>
      <c r="S20" s="42">
        <v>42999</v>
      </c>
      <c r="T20" s="40">
        <v>43045</v>
      </c>
      <c r="U20" s="96" t="s">
        <v>122</v>
      </c>
      <c r="V20" s="96" t="s">
        <v>123</v>
      </c>
      <c r="W20" s="92">
        <v>1</v>
      </c>
      <c r="X20" s="38"/>
      <c r="Y20" s="38"/>
    </row>
    <row r="21" spans="1:25" ht="21.75" customHeight="1" x14ac:dyDescent="0.15">
      <c r="A21" s="90"/>
      <c r="B21" s="91"/>
      <c r="C21" s="93"/>
      <c r="D21" s="62" t="s">
        <v>110</v>
      </c>
      <c r="E21" s="52" t="s">
        <v>55</v>
      </c>
      <c r="F21" s="95"/>
      <c r="G21" s="41">
        <v>42907</v>
      </c>
      <c r="H21" s="41">
        <v>42919</v>
      </c>
      <c r="I21" s="41">
        <v>42923</v>
      </c>
      <c r="J21" s="41">
        <v>42933</v>
      </c>
      <c r="K21" s="41">
        <v>42921</v>
      </c>
      <c r="L21" s="41">
        <v>42938</v>
      </c>
      <c r="M21" s="39" t="str">
        <f t="shared" ref="M21:T21" ca="1" si="0">IF(M20="","注意",IF(M20=TODAY(),"预警",IF(M20&lt;TODAY(),"延期","")))</f>
        <v>注意</v>
      </c>
      <c r="N21" s="39" t="str">
        <f t="shared" ca="1" si="0"/>
        <v>注意</v>
      </c>
      <c r="O21" s="39" t="str">
        <f t="shared" ca="1" si="0"/>
        <v>延期</v>
      </c>
      <c r="P21" s="39" t="str">
        <f t="shared" ca="1" si="0"/>
        <v>延期</v>
      </c>
      <c r="Q21" s="39" t="str">
        <f t="shared" ca="1" si="0"/>
        <v>延期</v>
      </c>
      <c r="R21" s="39" t="str">
        <f t="shared" ca="1" si="0"/>
        <v>延期</v>
      </c>
      <c r="S21" s="39" t="str">
        <f t="shared" ca="1" si="0"/>
        <v>延期</v>
      </c>
      <c r="T21" s="39" t="str">
        <f t="shared" ca="1" si="0"/>
        <v>延期</v>
      </c>
      <c r="U21" s="97"/>
      <c r="V21" s="97"/>
      <c r="W21" s="93"/>
      <c r="X21" s="38"/>
      <c r="Y21" s="38"/>
    </row>
    <row r="22" spans="1:25" ht="56.25" customHeight="1" x14ac:dyDescent="0.15">
      <c r="A22" s="90">
        <v>11</v>
      </c>
      <c r="B22" s="91" t="s">
        <v>124</v>
      </c>
      <c r="C22" s="92" t="s">
        <v>121</v>
      </c>
      <c r="D22" s="62" t="s">
        <v>351</v>
      </c>
      <c r="E22" s="54" t="s">
        <v>192</v>
      </c>
      <c r="F22" s="105">
        <v>42874</v>
      </c>
      <c r="G22" s="41">
        <v>42891</v>
      </c>
      <c r="H22" s="41">
        <v>42898</v>
      </c>
      <c r="I22" s="41">
        <v>42906</v>
      </c>
      <c r="J22" s="66">
        <v>43053</v>
      </c>
      <c r="K22" s="69">
        <v>42887</v>
      </c>
      <c r="L22" s="69">
        <v>42902</v>
      </c>
      <c r="M22" s="67"/>
      <c r="N22" s="67"/>
      <c r="O22" s="66">
        <v>43053</v>
      </c>
      <c r="P22" s="66">
        <v>43053</v>
      </c>
      <c r="Q22" s="88">
        <v>43063</v>
      </c>
      <c r="R22" s="67">
        <v>43076</v>
      </c>
      <c r="S22" s="67">
        <v>43076</v>
      </c>
      <c r="T22" s="70">
        <v>43115</v>
      </c>
      <c r="U22" s="106" t="s">
        <v>338</v>
      </c>
      <c r="V22" s="106" t="s">
        <v>125</v>
      </c>
      <c r="W22" s="104"/>
      <c r="X22" s="38"/>
      <c r="Y22" s="38"/>
    </row>
    <row r="23" spans="1:25" ht="56.25" customHeight="1" x14ac:dyDescent="0.15">
      <c r="A23" s="90"/>
      <c r="B23" s="91"/>
      <c r="C23" s="93"/>
      <c r="D23" s="62" t="s">
        <v>351</v>
      </c>
      <c r="E23" s="54" t="s">
        <v>192</v>
      </c>
      <c r="F23" s="95"/>
      <c r="G23" s="41">
        <v>42891</v>
      </c>
      <c r="H23" s="41">
        <v>42895</v>
      </c>
      <c r="I23" s="41">
        <v>42907</v>
      </c>
      <c r="J23" s="66">
        <v>43053</v>
      </c>
      <c r="K23" s="69">
        <v>42887</v>
      </c>
      <c r="L23" s="69">
        <v>42922</v>
      </c>
      <c r="M23" s="71" t="str">
        <f ca="1">IF(M22="","注意",IF(M22=TODAY(),"预警",IF(M22&lt;TODAY(),"延期","")))</f>
        <v>注意</v>
      </c>
      <c r="N23" s="71" t="str">
        <f ca="1">IF(N22="","注意",IF(N22=TODAY(),"预警",IF(N22&lt;TODAY(),"延期","")))</f>
        <v>注意</v>
      </c>
      <c r="O23" s="66">
        <v>43053</v>
      </c>
      <c r="P23" s="66">
        <v>43048</v>
      </c>
      <c r="Q23" s="88">
        <v>43060</v>
      </c>
      <c r="R23" s="68" t="str">
        <f ca="1">IF(R22="","注意",IF(R22=TODAY(),"预警",IF(R22&lt;TODAY(),"延期","")))</f>
        <v/>
      </c>
      <c r="S23" s="68" t="str">
        <f ca="1">IF(S22="","注意",IF(S22=TODAY(),"预警",IF(S22&lt;TODAY(),"延期","")))</f>
        <v/>
      </c>
      <c r="T23" s="68" t="str">
        <f ca="1">IF(T22="","注意",IF(T22=TODAY(),"预警",IF(T22&lt;TODAY(),"延期","")))</f>
        <v/>
      </c>
      <c r="U23" s="97"/>
      <c r="V23" s="97"/>
      <c r="W23" s="93"/>
      <c r="X23" s="38"/>
      <c r="Y23" s="38"/>
    </row>
    <row r="24" spans="1:25" ht="21.75" customHeight="1" x14ac:dyDescent="0.15">
      <c r="A24" s="89">
        <v>12</v>
      </c>
      <c r="B24" s="91" t="s">
        <v>337</v>
      </c>
      <c r="C24" s="104" t="s">
        <v>72</v>
      </c>
      <c r="D24" s="62" t="s">
        <v>110</v>
      </c>
      <c r="E24" s="52" t="s">
        <v>192</v>
      </c>
      <c r="F24" s="105">
        <v>42888</v>
      </c>
      <c r="G24" s="41">
        <v>42902</v>
      </c>
      <c r="H24" s="41">
        <v>42908</v>
      </c>
      <c r="I24" s="41">
        <v>42915</v>
      </c>
      <c r="J24" s="41">
        <v>42921</v>
      </c>
      <c r="K24" s="41">
        <v>42908</v>
      </c>
      <c r="L24" s="41">
        <v>42928</v>
      </c>
      <c r="M24" s="42"/>
      <c r="N24" s="42"/>
      <c r="O24" s="41">
        <v>42979</v>
      </c>
      <c r="P24" s="41">
        <v>43006</v>
      </c>
      <c r="Q24" s="41">
        <v>43000</v>
      </c>
      <c r="R24" s="39">
        <v>43017</v>
      </c>
      <c r="S24" s="39">
        <v>43020</v>
      </c>
      <c r="T24" s="42">
        <v>43055</v>
      </c>
      <c r="U24" s="106" t="s">
        <v>354</v>
      </c>
      <c r="V24" s="106" t="s">
        <v>126</v>
      </c>
      <c r="W24" s="104"/>
      <c r="X24" s="38"/>
      <c r="Y24" s="38"/>
    </row>
    <row r="25" spans="1:25" ht="21.75" customHeight="1" x14ac:dyDescent="0.15">
      <c r="A25" s="90"/>
      <c r="B25" s="91"/>
      <c r="C25" s="93"/>
      <c r="D25" s="62" t="s">
        <v>110</v>
      </c>
      <c r="E25" s="52" t="s">
        <v>192</v>
      </c>
      <c r="F25" s="95"/>
      <c r="G25" s="41">
        <v>42902</v>
      </c>
      <c r="H25" s="41">
        <v>42908</v>
      </c>
      <c r="I25" s="41">
        <v>42915</v>
      </c>
      <c r="J25" s="41">
        <v>42921</v>
      </c>
      <c r="K25" s="41">
        <v>42908</v>
      </c>
      <c r="L25" s="41">
        <v>42931</v>
      </c>
      <c r="M25" s="39" t="str">
        <f ca="1">IF(M24="","注意",IF(M24=TODAY(),"预警",IF(M24&lt;TODAY(),"延期","")))</f>
        <v>注意</v>
      </c>
      <c r="N25" s="39" t="str">
        <f ca="1">IF(N24="","注意",IF(N24=TODAY(),"预警",IF(N24&lt;TODAY(),"延期","")))</f>
        <v>注意</v>
      </c>
      <c r="O25" s="41">
        <v>42979</v>
      </c>
      <c r="P25" s="41">
        <v>43006</v>
      </c>
      <c r="Q25" s="41">
        <v>42989</v>
      </c>
      <c r="R25" s="39" t="str">
        <f ca="1">IF(R24="","注意",IF(R24=TODAY(),"预警",IF(R24&lt;TODAY(),"延期","")))</f>
        <v>延期</v>
      </c>
      <c r="S25" s="39" t="str">
        <f ca="1">IF(S24="","注意",IF(S24=TODAY(),"预警",IF(S24&lt;TODAY(),"延期","")))</f>
        <v>延期</v>
      </c>
      <c r="T25" s="39" t="str">
        <f ca="1">IF(T24="","注意",IF(T24=TODAY(),"预警",IF(T24&lt;TODAY(),"延期","")))</f>
        <v>延期</v>
      </c>
      <c r="U25" s="97"/>
      <c r="V25" s="97"/>
      <c r="W25" s="93"/>
      <c r="X25" s="38"/>
      <c r="Y25" s="38"/>
    </row>
    <row r="26" spans="1:25" ht="21.75" customHeight="1" x14ac:dyDescent="0.15">
      <c r="A26" s="90">
        <v>13</v>
      </c>
      <c r="B26" s="91" t="s">
        <v>127</v>
      </c>
      <c r="C26" s="104" t="s">
        <v>72</v>
      </c>
      <c r="D26" s="62" t="s">
        <v>110</v>
      </c>
      <c r="E26" s="52" t="s">
        <v>192</v>
      </c>
      <c r="F26" s="105">
        <v>42888</v>
      </c>
      <c r="G26" s="41">
        <v>42902</v>
      </c>
      <c r="H26" s="41">
        <v>42908</v>
      </c>
      <c r="I26" s="41">
        <v>42915</v>
      </c>
      <c r="J26" s="41">
        <v>42921</v>
      </c>
      <c r="K26" s="41">
        <v>42908</v>
      </c>
      <c r="L26" s="41">
        <v>42928</v>
      </c>
      <c r="M26" s="42"/>
      <c r="N26" s="42"/>
      <c r="O26" s="41">
        <v>42972</v>
      </c>
      <c r="P26" s="41">
        <v>43006</v>
      </c>
      <c r="Q26" s="41">
        <v>43000</v>
      </c>
      <c r="R26" s="39">
        <v>43017</v>
      </c>
      <c r="S26" s="39">
        <v>43020</v>
      </c>
      <c r="T26" s="42">
        <v>43055</v>
      </c>
      <c r="U26" s="106" t="s">
        <v>354</v>
      </c>
      <c r="V26" s="106" t="s">
        <v>126</v>
      </c>
      <c r="W26" s="104"/>
      <c r="X26" s="38"/>
      <c r="Y26" s="38"/>
    </row>
    <row r="27" spans="1:25" ht="21.75" customHeight="1" x14ac:dyDescent="0.15">
      <c r="A27" s="90"/>
      <c r="B27" s="91"/>
      <c r="C27" s="93"/>
      <c r="D27" s="62" t="s">
        <v>110</v>
      </c>
      <c r="E27" s="52" t="s">
        <v>192</v>
      </c>
      <c r="F27" s="95"/>
      <c r="G27" s="41">
        <v>42902</v>
      </c>
      <c r="H27" s="41">
        <v>42908</v>
      </c>
      <c r="I27" s="41">
        <v>42915</v>
      </c>
      <c r="J27" s="41">
        <v>42921</v>
      </c>
      <c r="K27" s="41">
        <v>42908</v>
      </c>
      <c r="L27" s="41">
        <v>42931</v>
      </c>
      <c r="M27" s="39" t="str">
        <f ca="1">IF(M26="","注意",IF(M26=TODAY(),"预警",IF(M26&lt;TODAY(),"延期","")))</f>
        <v>注意</v>
      </c>
      <c r="N27" s="39" t="str">
        <f ca="1">IF(N26="","注意",IF(N26=TODAY(),"预警",IF(N26&lt;TODAY(),"延期","")))</f>
        <v>注意</v>
      </c>
      <c r="O27" s="41">
        <v>42972</v>
      </c>
      <c r="P27" s="41">
        <v>43006</v>
      </c>
      <c r="Q27" s="41">
        <v>42989</v>
      </c>
      <c r="R27" s="39" t="str">
        <f ca="1">IF(R26="","注意",IF(R26=TODAY(),"预警",IF(R26&lt;TODAY(),"延期","")))</f>
        <v>延期</v>
      </c>
      <c r="S27" s="39" t="str">
        <f ca="1">IF(S26="","注意",IF(S26=TODAY(),"预警",IF(S26&lt;TODAY(),"延期","")))</f>
        <v>延期</v>
      </c>
      <c r="T27" s="39" t="str">
        <f ca="1">IF(T26="","注意",IF(T26=TODAY(),"预警",IF(T26&lt;TODAY(),"延期","")))</f>
        <v>延期</v>
      </c>
      <c r="U27" s="97"/>
      <c r="V27" s="97"/>
      <c r="W27" s="93"/>
      <c r="X27" s="38"/>
      <c r="Y27" s="38"/>
    </row>
    <row r="28" spans="1:25" ht="21.75" customHeight="1" x14ac:dyDescent="0.15">
      <c r="A28" s="89">
        <v>14</v>
      </c>
      <c r="B28" s="91" t="s">
        <v>128</v>
      </c>
      <c r="C28" s="104" t="s">
        <v>72</v>
      </c>
      <c r="D28" s="62" t="s">
        <v>110</v>
      </c>
      <c r="E28" s="52" t="s">
        <v>56</v>
      </c>
      <c r="F28" s="105">
        <v>42892</v>
      </c>
      <c r="G28" s="41">
        <v>42907</v>
      </c>
      <c r="H28" s="41">
        <v>42923</v>
      </c>
      <c r="I28" s="41">
        <v>42933</v>
      </c>
      <c r="J28" s="41">
        <v>42940</v>
      </c>
      <c r="K28" s="41">
        <v>42906</v>
      </c>
      <c r="L28" s="41">
        <v>42920</v>
      </c>
      <c r="M28" s="42"/>
      <c r="N28" s="42"/>
      <c r="O28" s="88">
        <v>43052</v>
      </c>
      <c r="P28" s="42">
        <v>43059</v>
      </c>
      <c r="Q28" s="42">
        <v>43077</v>
      </c>
      <c r="R28" s="42">
        <v>43091</v>
      </c>
      <c r="S28" s="42">
        <v>43094</v>
      </c>
      <c r="T28" s="42">
        <v>43131</v>
      </c>
      <c r="U28" s="106" t="s">
        <v>339</v>
      </c>
      <c r="V28" s="106" t="s">
        <v>129</v>
      </c>
      <c r="W28" s="104"/>
      <c r="X28" s="38"/>
      <c r="Y28" s="38"/>
    </row>
    <row r="29" spans="1:25" ht="21.75" customHeight="1" x14ac:dyDescent="0.15">
      <c r="A29" s="90"/>
      <c r="B29" s="91"/>
      <c r="C29" s="93"/>
      <c r="D29" s="62" t="s">
        <v>110</v>
      </c>
      <c r="E29" s="52" t="s">
        <v>56</v>
      </c>
      <c r="F29" s="95"/>
      <c r="G29" s="41">
        <v>42910</v>
      </c>
      <c r="H29" s="41">
        <v>42923</v>
      </c>
      <c r="I29" s="41">
        <v>42933</v>
      </c>
      <c r="J29" s="41">
        <v>42940</v>
      </c>
      <c r="K29" s="41">
        <v>42906</v>
      </c>
      <c r="L29" s="41">
        <v>42922</v>
      </c>
      <c r="M29" s="39" t="str">
        <f t="shared" ref="M29:T29" ca="1" si="1">IF(M28="","注意",IF(M28=TODAY(),"预警",IF(M28&lt;TODAY(),"延期","")))</f>
        <v>注意</v>
      </c>
      <c r="N29" s="39" t="str">
        <f t="shared" ca="1" si="1"/>
        <v>注意</v>
      </c>
      <c r="O29" s="88">
        <v>43059</v>
      </c>
      <c r="P29" s="39" t="str">
        <f t="shared" ca="1" si="1"/>
        <v>延期</v>
      </c>
      <c r="Q29" s="39" t="str">
        <f t="shared" ca="1" si="1"/>
        <v/>
      </c>
      <c r="R29" s="39" t="str">
        <f t="shared" ca="1" si="1"/>
        <v/>
      </c>
      <c r="S29" s="39" t="str">
        <f t="shared" ca="1" si="1"/>
        <v/>
      </c>
      <c r="T29" s="39" t="str">
        <f t="shared" ca="1" si="1"/>
        <v/>
      </c>
      <c r="U29" s="97"/>
      <c r="V29" s="97"/>
      <c r="W29" s="93"/>
      <c r="X29" s="38"/>
      <c r="Y29" s="38"/>
    </row>
    <row r="30" spans="1:25" ht="21.75" customHeight="1" x14ac:dyDescent="0.15">
      <c r="A30" s="90">
        <v>15</v>
      </c>
      <c r="B30" s="91" t="s">
        <v>130</v>
      </c>
      <c r="C30" s="104" t="s">
        <v>72</v>
      </c>
      <c r="D30" s="62" t="s">
        <v>110</v>
      </c>
      <c r="E30" s="52" t="s">
        <v>55</v>
      </c>
      <c r="F30" s="105">
        <v>42892</v>
      </c>
      <c r="G30" s="41">
        <v>42916</v>
      </c>
      <c r="H30" s="41">
        <v>42930</v>
      </c>
      <c r="I30" s="41">
        <v>42940</v>
      </c>
      <c r="J30" s="41">
        <v>42947</v>
      </c>
      <c r="K30" s="41">
        <v>42915</v>
      </c>
      <c r="L30" s="41">
        <v>42929</v>
      </c>
      <c r="M30" s="42"/>
      <c r="N30" s="42"/>
      <c r="O30" s="88">
        <v>43052</v>
      </c>
      <c r="P30" s="42">
        <v>43059</v>
      </c>
      <c r="Q30" s="42">
        <v>43077</v>
      </c>
      <c r="R30" s="42">
        <v>43091</v>
      </c>
      <c r="S30" s="42">
        <v>43094</v>
      </c>
      <c r="T30" s="42">
        <v>43131</v>
      </c>
      <c r="U30" s="106" t="s">
        <v>339</v>
      </c>
      <c r="V30" s="106" t="s">
        <v>129</v>
      </c>
      <c r="W30" s="104"/>
      <c r="X30" s="38"/>
      <c r="Y30" s="38"/>
    </row>
    <row r="31" spans="1:25" ht="21.75" customHeight="1" x14ac:dyDescent="0.15">
      <c r="A31" s="90"/>
      <c r="B31" s="91"/>
      <c r="C31" s="93"/>
      <c r="D31" s="62" t="s">
        <v>110</v>
      </c>
      <c r="E31" s="52" t="s">
        <v>55</v>
      </c>
      <c r="F31" s="95"/>
      <c r="G31" s="41">
        <v>42916</v>
      </c>
      <c r="H31" s="41">
        <v>42930</v>
      </c>
      <c r="I31" s="41">
        <v>42940</v>
      </c>
      <c r="J31" s="41">
        <v>42947</v>
      </c>
      <c r="K31" s="41">
        <v>42915</v>
      </c>
      <c r="L31" s="41">
        <v>42929</v>
      </c>
      <c r="M31" s="39" t="str">
        <f t="shared" ref="M31:T31" ca="1" si="2">IF(M30="","注意",IF(M30=TODAY(),"预警",IF(M30&lt;TODAY(),"延期","")))</f>
        <v>注意</v>
      </c>
      <c r="N31" s="39" t="str">
        <f t="shared" ca="1" si="2"/>
        <v>注意</v>
      </c>
      <c r="O31" s="39" t="str">
        <f t="shared" ca="1" si="2"/>
        <v>延期</v>
      </c>
      <c r="P31" s="39" t="str">
        <f t="shared" ca="1" si="2"/>
        <v>延期</v>
      </c>
      <c r="Q31" s="39" t="str">
        <f t="shared" ca="1" si="2"/>
        <v/>
      </c>
      <c r="R31" s="39" t="str">
        <f t="shared" ca="1" si="2"/>
        <v/>
      </c>
      <c r="S31" s="39" t="str">
        <f t="shared" ca="1" si="2"/>
        <v/>
      </c>
      <c r="T31" s="39" t="str">
        <f t="shared" ca="1" si="2"/>
        <v/>
      </c>
      <c r="U31" s="97"/>
      <c r="V31" s="97"/>
      <c r="W31" s="93"/>
      <c r="X31" s="38"/>
      <c r="Y31" s="38"/>
    </row>
    <row r="32" spans="1:25" ht="21.75" customHeight="1" x14ac:dyDescent="0.15">
      <c r="A32" s="89">
        <v>16</v>
      </c>
      <c r="B32" s="91" t="s">
        <v>131</v>
      </c>
      <c r="C32" s="104" t="s">
        <v>72</v>
      </c>
      <c r="D32" s="62" t="s">
        <v>110</v>
      </c>
      <c r="E32" s="52" t="s">
        <v>56</v>
      </c>
      <c r="F32" s="105">
        <v>42892</v>
      </c>
      <c r="G32" s="41">
        <v>42898</v>
      </c>
      <c r="H32" s="41">
        <v>42914</v>
      </c>
      <c r="I32" s="41">
        <v>42920</v>
      </c>
      <c r="J32" s="41">
        <v>42930</v>
      </c>
      <c r="K32" s="41">
        <v>42916</v>
      </c>
      <c r="L32" s="41">
        <v>42934</v>
      </c>
      <c r="M32" s="42"/>
      <c r="N32" s="42"/>
      <c r="O32" s="88">
        <v>43052</v>
      </c>
      <c r="P32" s="42">
        <v>43059</v>
      </c>
      <c r="Q32" s="42">
        <v>43077</v>
      </c>
      <c r="R32" s="42">
        <v>43091</v>
      </c>
      <c r="S32" s="42">
        <v>43094</v>
      </c>
      <c r="T32" s="42">
        <v>43131</v>
      </c>
      <c r="U32" s="106" t="s">
        <v>339</v>
      </c>
      <c r="V32" s="106" t="s">
        <v>132</v>
      </c>
      <c r="W32" s="104"/>
      <c r="X32" s="38"/>
      <c r="Y32" s="38"/>
    </row>
    <row r="33" spans="1:25" ht="21.75" customHeight="1" x14ac:dyDescent="0.15">
      <c r="A33" s="90"/>
      <c r="B33" s="91"/>
      <c r="C33" s="93"/>
      <c r="D33" s="62" t="s">
        <v>110</v>
      </c>
      <c r="E33" s="52" t="s">
        <v>56</v>
      </c>
      <c r="F33" s="95"/>
      <c r="G33" s="41">
        <v>42898</v>
      </c>
      <c r="H33" s="41">
        <v>42914</v>
      </c>
      <c r="I33" s="41">
        <v>42920</v>
      </c>
      <c r="J33" s="41">
        <v>42930</v>
      </c>
      <c r="K33" s="41">
        <v>42916</v>
      </c>
      <c r="L33" s="41">
        <v>42940</v>
      </c>
      <c r="M33" s="39" t="str">
        <f t="shared" ref="M33:T33" ca="1" si="3">IF(M32="","注意",IF(M32=TODAY(),"预警",IF(M32&lt;TODAY(),"延期","")))</f>
        <v>注意</v>
      </c>
      <c r="N33" s="39" t="str">
        <f t="shared" ca="1" si="3"/>
        <v>注意</v>
      </c>
      <c r="O33" s="88">
        <v>43060</v>
      </c>
      <c r="P33" s="39" t="str">
        <f t="shared" ca="1" si="3"/>
        <v>延期</v>
      </c>
      <c r="Q33" s="39" t="str">
        <f t="shared" ca="1" si="3"/>
        <v/>
      </c>
      <c r="R33" s="39" t="str">
        <f t="shared" ca="1" si="3"/>
        <v/>
      </c>
      <c r="S33" s="39" t="str">
        <f t="shared" ca="1" si="3"/>
        <v/>
      </c>
      <c r="T33" s="39" t="str">
        <f t="shared" ca="1" si="3"/>
        <v/>
      </c>
      <c r="U33" s="97"/>
      <c r="V33" s="97"/>
      <c r="W33" s="93"/>
      <c r="X33" s="38"/>
      <c r="Y33" s="38"/>
    </row>
    <row r="34" spans="1:25" ht="36" customHeight="1" x14ac:dyDescent="0.15">
      <c r="A34" s="90">
        <v>17</v>
      </c>
      <c r="B34" s="91" t="s">
        <v>133</v>
      </c>
      <c r="C34" s="104" t="s">
        <v>72</v>
      </c>
      <c r="D34" s="47" t="s">
        <v>103</v>
      </c>
      <c r="E34" s="52" t="s">
        <v>66</v>
      </c>
      <c r="F34" s="105">
        <v>42880</v>
      </c>
      <c r="G34" s="41">
        <v>42888</v>
      </c>
      <c r="H34" s="41">
        <v>42894</v>
      </c>
      <c r="I34" s="41">
        <v>42901</v>
      </c>
      <c r="J34" s="41">
        <v>42908</v>
      </c>
      <c r="K34" s="41">
        <v>42901</v>
      </c>
      <c r="L34" s="41">
        <v>42936</v>
      </c>
      <c r="M34" s="42"/>
      <c r="N34" s="42"/>
      <c r="O34" s="41">
        <v>42940</v>
      </c>
      <c r="P34" s="41">
        <v>43000</v>
      </c>
      <c r="Q34" s="41">
        <v>42982</v>
      </c>
      <c r="R34" s="41">
        <v>43008</v>
      </c>
      <c r="S34" s="41">
        <v>43019</v>
      </c>
      <c r="T34" s="42">
        <v>43054</v>
      </c>
      <c r="U34" s="106" t="s">
        <v>340</v>
      </c>
      <c r="V34" s="106" t="s">
        <v>134</v>
      </c>
      <c r="W34" s="104"/>
      <c r="X34" s="38"/>
      <c r="Y34" s="38"/>
    </row>
    <row r="35" spans="1:25" ht="36" customHeight="1" x14ac:dyDescent="0.15">
      <c r="A35" s="90"/>
      <c r="B35" s="91"/>
      <c r="C35" s="93"/>
      <c r="D35" s="47" t="s">
        <v>103</v>
      </c>
      <c r="E35" s="52" t="s">
        <v>66</v>
      </c>
      <c r="F35" s="95"/>
      <c r="G35" s="41">
        <v>42888</v>
      </c>
      <c r="H35" s="41">
        <v>42894</v>
      </c>
      <c r="I35" s="41">
        <v>42901</v>
      </c>
      <c r="J35" s="41">
        <v>42908</v>
      </c>
      <c r="K35" s="41">
        <v>42909</v>
      </c>
      <c r="L35" s="41">
        <v>42933</v>
      </c>
      <c r="M35" s="39" t="str">
        <f ca="1">IF(M34="","注意",IF(M34=TODAY(),"预警",IF(M34&lt;TODAY(),"延期","")))</f>
        <v>注意</v>
      </c>
      <c r="N35" s="39" t="str">
        <f ca="1">IF(N34="","注意",IF(N34=TODAY(),"预警",IF(N34&lt;TODAY(),"延期","")))</f>
        <v>注意</v>
      </c>
      <c r="O35" s="41">
        <v>42944</v>
      </c>
      <c r="P35" s="41">
        <v>43000</v>
      </c>
      <c r="Q35" s="41">
        <v>42979</v>
      </c>
      <c r="R35" s="41">
        <v>43035</v>
      </c>
      <c r="S35" s="41">
        <v>43045</v>
      </c>
      <c r="T35" s="39" t="str">
        <f ca="1">IF(T34="","注意",IF(T34=TODAY(),"预警",IF(T34&lt;TODAY(),"延期","")))</f>
        <v>延期</v>
      </c>
      <c r="U35" s="97"/>
      <c r="V35" s="97"/>
      <c r="W35" s="93"/>
      <c r="X35" s="38"/>
      <c r="Y35" s="38"/>
    </row>
    <row r="36" spans="1:25" ht="21.75" customHeight="1" x14ac:dyDescent="0.15">
      <c r="A36" s="89">
        <v>18</v>
      </c>
      <c r="B36" s="91" t="s">
        <v>135</v>
      </c>
      <c r="C36" s="92" t="s">
        <v>121</v>
      </c>
      <c r="D36" s="45" t="s">
        <v>110</v>
      </c>
      <c r="E36" s="52" t="s">
        <v>192</v>
      </c>
      <c r="F36" s="94">
        <v>42891</v>
      </c>
      <c r="G36" s="41">
        <v>42900</v>
      </c>
      <c r="H36" s="41">
        <v>42916</v>
      </c>
      <c r="I36" s="41">
        <v>42926</v>
      </c>
      <c r="J36" s="41">
        <v>42933</v>
      </c>
      <c r="K36" s="41">
        <v>42922</v>
      </c>
      <c r="L36" s="41">
        <v>42937</v>
      </c>
      <c r="M36" s="42"/>
      <c r="N36" s="42"/>
      <c r="O36" s="41">
        <v>42975</v>
      </c>
      <c r="P36" s="41">
        <v>43021</v>
      </c>
      <c r="Q36" s="41">
        <v>42979</v>
      </c>
      <c r="R36" s="42">
        <v>43000</v>
      </c>
      <c r="S36" s="42">
        <v>43005</v>
      </c>
      <c r="T36" s="42">
        <v>43047</v>
      </c>
      <c r="U36" s="114" t="s">
        <v>355</v>
      </c>
      <c r="V36" s="96" t="s">
        <v>136</v>
      </c>
      <c r="W36" s="92">
        <v>1</v>
      </c>
      <c r="X36" s="38"/>
      <c r="Y36" s="38"/>
    </row>
    <row r="37" spans="1:25" ht="21.75" customHeight="1" x14ac:dyDescent="0.15">
      <c r="A37" s="90"/>
      <c r="B37" s="91"/>
      <c r="C37" s="93"/>
      <c r="D37" s="45" t="s">
        <v>110</v>
      </c>
      <c r="E37" s="52" t="s">
        <v>192</v>
      </c>
      <c r="F37" s="95"/>
      <c r="G37" s="41">
        <v>42902</v>
      </c>
      <c r="H37" s="41">
        <v>42916</v>
      </c>
      <c r="I37" s="41">
        <v>42923</v>
      </c>
      <c r="J37" s="41">
        <v>42933</v>
      </c>
      <c r="K37" s="41">
        <v>42922</v>
      </c>
      <c r="L37" s="41">
        <v>42937</v>
      </c>
      <c r="M37" s="39" t="str">
        <f ca="1">IF(M36="","注意",IF(M36=TODAY(),"预警",IF(M36&lt;TODAY(),"延期","")))</f>
        <v>注意</v>
      </c>
      <c r="N37" s="39" t="str">
        <f ca="1">IF(N36="","注意",IF(N36=TODAY(),"预警",IF(N36&lt;TODAY(),"延期","")))</f>
        <v>注意</v>
      </c>
      <c r="O37" s="41">
        <v>42978</v>
      </c>
      <c r="P37" s="41">
        <v>43021</v>
      </c>
      <c r="Q37" s="41">
        <v>42979</v>
      </c>
      <c r="R37" s="39" t="str">
        <f ca="1">IF(R36="","注意",IF(R36=TODAY(),"预警",IF(R36&lt;TODAY(),"延期","")))</f>
        <v>延期</v>
      </c>
      <c r="S37" s="39" t="str">
        <f ca="1">IF(S36="","注意",IF(S36=TODAY(),"预警",IF(S36&lt;TODAY(),"延期","")))</f>
        <v>延期</v>
      </c>
      <c r="T37" s="39" t="str">
        <f ca="1">IF(T36="","注意",IF(T36=TODAY(),"预警",IF(T36&lt;TODAY(),"延期","")))</f>
        <v>延期</v>
      </c>
      <c r="U37" s="115"/>
      <c r="V37" s="97"/>
      <c r="W37" s="93"/>
      <c r="X37" s="38"/>
      <c r="Y37" s="38"/>
    </row>
    <row r="38" spans="1:25" ht="21.75" customHeight="1" x14ac:dyDescent="0.15">
      <c r="A38" s="90">
        <v>19</v>
      </c>
      <c r="B38" s="91" t="s">
        <v>137</v>
      </c>
      <c r="C38" s="92" t="s">
        <v>121</v>
      </c>
      <c r="D38" s="45" t="s">
        <v>110</v>
      </c>
      <c r="E38" s="52" t="s">
        <v>192</v>
      </c>
      <c r="F38" s="94">
        <v>42891</v>
      </c>
      <c r="G38" s="41">
        <v>42900</v>
      </c>
      <c r="H38" s="41">
        <v>42916</v>
      </c>
      <c r="I38" s="41">
        <v>42926</v>
      </c>
      <c r="J38" s="41">
        <v>42933</v>
      </c>
      <c r="K38" s="41">
        <v>42922</v>
      </c>
      <c r="L38" s="41">
        <v>42937</v>
      </c>
      <c r="M38" s="42"/>
      <c r="N38" s="42"/>
      <c r="O38" s="41">
        <v>42975</v>
      </c>
      <c r="P38" s="41">
        <v>43021</v>
      </c>
      <c r="Q38" s="41">
        <v>42979</v>
      </c>
      <c r="R38" s="42">
        <v>43000</v>
      </c>
      <c r="S38" s="42">
        <v>43005</v>
      </c>
      <c r="T38" s="39">
        <v>43047</v>
      </c>
      <c r="U38" s="114" t="s">
        <v>355</v>
      </c>
      <c r="V38" s="96" t="s">
        <v>136</v>
      </c>
      <c r="W38" s="92">
        <v>1</v>
      </c>
      <c r="X38" s="38"/>
      <c r="Y38" s="38"/>
    </row>
    <row r="39" spans="1:25" ht="21.75" customHeight="1" x14ac:dyDescent="0.15">
      <c r="A39" s="90"/>
      <c r="B39" s="91"/>
      <c r="C39" s="93"/>
      <c r="D39" s="45" t="s">
        <v>110</v>
      </c>
      <c r="E39" s="52" t="s">
        <v>192</v>
      </c>
      <c r="F39" s="95"/>
      <c r="G39" s="41">
        <v>42902</v>
      </c>
      <c r="H39" s="41">
        <v>42916</v>
      </c>
      <c r="I39" s="41">
        <v>42923</v>
      </c>
      <c r="J39" s="41">
        <v>42933</v>
      </c>
      <c r="K39" s="41">
        <v>42922</v>
      </c>
      <c r="L39" s="41">
        <v>42937</v>
      </c>
      <c r="M39" s="39" t="str">
        <f ca="1">IF(M38="","注意",IF(M38=TODAY(),"预警",IF(M38&lt;TODAY(),"延期","")))</f>
        <v>注意</v>
      </c>
      <c r="N39" s="39" t="str">
        <f ca="1">IF(N38="","注意",IF(N38=TODAY(),"预警",IF(N38&lt;TODAY(),"延期","")))</f>
        <v>注意</v>
      </c>
      <c r="O39" s="41">
        <v>42978</v>
      </c>
      <c r="P39" s="41">
        <v>43021</v>
      </c>
      <c r="Q39" s="41">
        <v>42979</v>
      </c>
      <c r="R39" s="39" t="str">
        <f ca="1">IF(R38="","注意",IF(R38=TODAY(),"预警",IF(R38&lt;TODAY(),"延期","")))</f>
        <v>延期</v>
      </c>
      <c r="S39" s="39" t="str">
        <f ca="1">IF(S38="","注意",IF(S38=TODAY(),"预警",IF(S38&lt;TODAY(),"延期","")))</f>
        <v>延期</v>
      </c>
      <c r="T39" s="39" t="str">
        <f ca="1">IF(T38="","注意",IF(T38=TODAY(),"预警",IF(T38&lt;TODAY(),"延期","")))</f>
        <v>延期</v>
      </c>
      <c r="U39" s="115"/>
      <c r="V39" s="97"/>
      <c r="W39" s="93"/>
      <c r="X39" s="38"/>
      <c r="Y39" s="38"/>
    </row>
    <row r="40" spans="1:25" ht="21.75" customHeight="1" x14ac:dyDescent="0.15">
      <c r="A40" s="89">
        <v>20</v>
      </c>
      <c r="B40" s="91" t="s">
        <v>138</v>
      </c>
      <c r="C40" s="92" t="s">
        <v>121</v>
      </c>
      <c r="D40" s="45" t="s">
        <v>110</v>
      </c>
      <c r="E40" s="52" t="s">
        <v>192</v>
      </c>
      <c r="F40" s="94">
        <v>42882</v>
      </c>
      <c r="G40" s="41">
        <v>42886</v>
      </c>
      <c r="H40" s="41">
        <v>42888</v>
      </c>
      <c r="I40" s="41">
        <v>42893</v>
      </c>
      <c r="J40" s="41">
        <v>42898</v>
      </c>
      <c r="K40" s="41">
        <v>42887</v>
      </c>
      <c r="L40" s="41">
        <v>42902</v>
      </c>
      <c r="M40" s="42"/>
      <c r="N40" s="42"/>
      <c r="O40" s="41">
        <v>42954</v>
      </c>
      <c r="P40" s="41" t="s">
        <v>104</v>
      </c>
      <c r="Q40" s="41">
        <v>42978</v>
      </c>
      <c r="R40" s="41">
        <v>43077</v>
      </c>
      <c r="S40" s="41">
        <v>42926</v>
      </c>
      <c r="T40" s="41" t="s">
        <v>104</v>
      </c>
      <c r="U40" s="96" t="s">
        <v>342</v>
      </c>
      <c r="V40" s="96" t="s">
        <v>140</v>
      </c>
      <c r="W40" s="92">
        <v>1</v>
      </c>
      <c r="X40" s="38"/>
      <c r="Y40" s="38"/>
    </row>
    <row r="41" spans="1:25" ht="21.75" customHeight="1" x14ac:dyDescent="0.15">
      <c r="A41" s="90"/>
      <c r="B41" s="91"/>
      <c r="C41" s="93"/>
      <c r="D41" s="45" t="s">
        <v>110</v>
      </c>
      <c r="E41" s="52" t="s">
        <v>192</v>
      </c>
      <c r="F41" s="95"/>
      <c r="G41" s="41">
        <v>42886</v>
      </c>
      <c r="H41" s="41">
        <v>42888</v>
      </c>
      <c r="I41" s="41">
        <v>42893</v>
      </c>
      <c r="J41" s="41">
        <v>42898</v>
      </c>
      <c r="K41" s="41">
        <v>42887</v>
      </c>
      <c r="L41" s="41">
        <v>42909</v>
      </c>
      <c r="M41" s="39" t="str">
        <f ca="1">IF(M40="","注意",IF(M40=TODAY(),"预警",IF(M40&lt;TODAY(),"延期","")))</f>
        <v>注意</v>
      </c>
      <c r="N41" s="39" t="str">
        <f ca="1">IF(N40="","注意",IF(N40=TODAY(),"预警",IF(N40&lt;TODAY(),"延期","")))</f>
        <v>注意</v>
      </c>
      <c r="O41" s="41">
        <v>42954</v>
      </c>
      <c r="P41" s="41" t="s">
        <v>104</v>
      </c>
      <c r="Q41" s="41">
        <v>42969</v>
      </c>
      <c r="R41" s="41">
        <v>43049</v>
      </c>
      <c r="S41" s="41">
        <v>42926</v>
      </c>
      <c r="T41" s="41" t="s">
        <v>104</v>
      </c>
      <c r="U41" s="97"/>
      <c r="V41" s="97"/>
      <c r="W41" s="93"/>
      <c r="X41" s="38"/>
      <c r="Y41" s="38"/>
    </row>
    <row r="42" spans="1:25" ht="21.75" customHeight="1" x14ac:dyDescent="0.15">
      <c r="A42" s="90">
        <v>21</v>
      </c>
      <c r="B42" s="91" t="s">
        <v>141</v>
      </c>
      <c r="C42" s="92" t="s">
        <v>121</v>
      </c>
      <c r="D42" s="45" t="s">
        <v>110</v>
      </c>
      <c r="E42" s="52" t="s">
        <v>56</v>
      </c>
      <c r="F42" s="94">
        <v>42882</v>
      </c>
      <c r="G42" s="41">
        <v>42886</v>
      </c>
      <c r="H42" s="41">
        <v>42888</v>
      </c>
      <c r="I42" s="41">
        <v>42893</v>
      </c>
      <c r="J42" s="41">
        <v>42898</v>
      </c>
      <c r="K42" s="41">
        <v>42887</v>
      </c>
      <c r="L42" s="41">
        <v>42902</v>
      </c>
      <c r="M42" s="42"/>
      <c r="N42" s="42"/>
      <c r="O42" s="41">
        <v>43052</v>
      </c>
      <c r="P42" s="41" t="s">
        <v>104</v>
      </c>
      <c r="Q42" s="42">
        <v>43069</v>
      </c>
      <c r="R42" s="42">
        <v>43077</v>
      </c>
      <c r="S42" s="41">
        <v>42926</v>
      </c>
      <c r="T42" s="41" t="s">
        <v>104</v>
      </c>
      <c r="U42" s="96" t="s">
        <v>188</v>
      </c>
      <c r="V42" s="96" t="s">
        <v>140</v>
      </c>
      <c r="W42" s="92">
        <v>1</v>
      </c>
      <c r="X42" s="38"/>
      <c r="Y42" s="38"/>
    </row>
    <row r="43" spans="1:25" ht="21.75" customHeight="1" x14ac:dyDescent="0.15">
      <c r="A43" s="90"/>
      <c r="B43" s="91"/>
      <c r="C43" s="93"/>
      <c r="D43" s="45" t="s">
        <v>110</v>
      </c>
      <c r="E43" s="52" t="s">
        <v>56</v>
      </c>
      <c r="F43" s="95"/>
      <c r="G43" s="41">
        <v>42886</v>
      </c>
      <c r="H43" s="41">
        <v>42888</v>
      </c>
      <c r="I43" s="41">
        <v>42893</v>
      </c>
      <c r="J43" s="41">
        <v>42898</v>
      </c>
      <c r="K43" s="41">
        <v>42887</v>
      </c>
      <c r="L43" s="41">
        <v>42909</v>
      </c>
      <c r="M43" s="39" t="str">
        <f ca="1">IF(M42="","注意",IF(M42=TODAY(),"预警",IF(M42&lt;TODAY(),"延期","")))</f>
        <v>注意</v>
      </c>
      <c r="N43" s="39" t="str">
        <f ca="1">IF(N42="","注意",IF(N42=TODAY(),"预警",IF(N42&lt;TODAY(),"延期","")))</f>
        <v>注意</v>
      </c>
      <c r="O43" s="41">
        <v>43053</v>
      </c>
      <c r="P43" s="41" t="s">
        <v>104</v>
      </c>
      <c r="Q43" s="39" t="str">
        <f ca="1">IF(Q42="","注意",IF(Q42=TODAY(),"预警",IF(Q42&lt;TODAY(),"延期","")))</f>
        <v/>
      </c>
      <c r="R43" s="39" t="str">
        <f ca="1">IF(R42="","注意",IF(R42=TODAY(),"预警",IF(R42&lt;TODAY(),"延期","")))</f>
        <v/>
      </c>
      <c r="S43" s="41">
        <v>42926</v>
      </c>
      <c r="T43" s="41" t="s">
        <v>104</v>
      </c>
      <c r="U43" s="97"/>
      <c r="V43" s="97"/>
      <c r="W43" s="93"/>
      <c r="X43" s="38"/>
      <c r="Y43" s="38"/>
    </row>
    <row r="44" spans="1:25" ht="21.75" customHeight="1" x14ac:dyDescent="0.15">
      <c r="A44" s="89">
        <v>22</v>
      </c>
      <c r="B44" s="91" t="s">
        <v>142</v>
      </c>
      <c r="C44" s="92" t="s">
        <v>121</v>
      </c>
      <c r="D44" s="45" t="s">
        <v>110</v>
      </c>
      <c r="E44" s="52" t="s">
        <v>192</v>
      </c>
      <c r="F44" s="105">
        <v>42900</v>
      </c>
      <c r="G44" s="41" t="s">
        <v>104</v>
      </c>
      <c r="H44" s="41" t="s">
        <v>104</v>
      </c>
      <c r="I44" s="41" t="s">
        <v>104</v>
      </c>
      <c r="J44" s="41" t="s">
        <v>104</v>
      </c>
      <c r="K44" s="41">
        <v>42901</v>
      </c>
      <c r="L44" s="41">
        <v>42919</v>
      </c>
      <c r="M44" s="42"/>
      <c r="N44" s="42"/>
      <c r="O44" s="41">
        <v>42916</v>
      </c>
      <c r="P44" s="41">
        <v>43026</v>
      </c>
      <c r="Q44" s="41">
        <v>42930</v>
      </c>
      <c r="R44" s="42">
        <v>42944</v>
      </c>
      <c r="S44" s="42">
        <v>42950</v>
      </c>
      <c r="T44" s="42">
        <v>42988</v>
      </c>
      <c r="U44" s="106" t="s">
        <v>372</v>
      </c>
      <c r="V44" s="96" t="s">
        <v>143</v>
      </c>
      <c r="W44" s="104"/>
      <c r="X44" s="38"/>
      <c r="Y44" s="38"/>
    </row>
    <row r="45" spans="1:25" ht="21.75" customHeight="1" x14ac:dyDescent="0.15">
      <c r="A45" s="90"/>
      <c r="B45" s="91"/>
      <c r="C45" s="93"/>
      <c r="D45" s="45" t="s">
        <v>110</v>
      </c>
      <c r="E45" s="52" t="s">
        <v>192</v>
      </c>
      <c r="F45" s="95"/>
      <c r="G45" s="41" t="s">
        <v>104</v>
      </c>
      <c r="H45" s="41" t="s">
        <v>104</v>
      </c>
      <c r="I45" s="41" t="s">
        <v>104</v>
      </c>
      <c r="J45" s="41" t="s">
        <v>104</v>
      </c>
      <c r="K45" s="41">
        <v>42901</v>
      </c>
      <c r="L45" s="41">
        <v>42909</v>
      </c>
      <c r="M45" s="39" t="str">
        <f ca="1">IF(M44="","注意",IF(M44=TODAY(),"预警",IF(M44&lt;TODAY(),"延期","")))</f>
        <v>注意</v>
      </c>
      <c r="N45" s="39" t="str">
        <f ca="1">IF(N44="","注意",IF(N44=TODAY(),"预警",IF(N44&lt;TODAY(),"延期","")))</f>
        <v>注意</v>
      </c>
      <c r="O45" s="41">
        <v>42912</v>
      </c>
      <c r="P45" s="41">
        <v>43028</v>
      </c>
      <c r="Q45" s="41">
        <v>42950</v>
      </c>
      <c r="R45" s="39" t="str">
        <f ca="1">IF(R44="","注意",IF(R44=TODAY(),"预警",IF(R44&lt;TODAY(),"延期","")))</f>
        <v>延期</v>
      </c>
      <c r="S45" s="39" t="str">
        <f ca="1">IF(S44="","注意",IF(S44=TODAY(),"预警",IF(S44&lt;TODAY(),"延期","")))</f>
        <v>延期</v>
      </c>
      <c r="T45" s="39" t="str">
        <f ca="1">IF(T44="","注意",IF(T44=TODAY(),"预警",IF(T44&lt;TODAY(),"延期","")))</f>
        <v>延期</v>
      </c>
      <c r="U45" s="97"/>
      <c r="V45" s="97"/>
      <c r="W45" s="93"/>
      <c r="X45" s="38"/>
      <c r="Y45" s="38"/>
    </row>
    <row r="46" spans="1:25" ht="21.75" customHeight="1" x14ac:dyDescent="0.15">
      <c r="A46" s="89">
        <v>23</v>
      </c>
      <c r="B46" s="91" t="s">
        <v>144</v>
      </c>
      <c r="C46" s="92" t="s">
        <v>121</v>
      </c>
      <c r="D46" s="45" t="s">
        <v>110</v>
      </c>
      <c r="E46" s="52" t="s">
        <v>55</v>
      </c>
      <c r="F46" s="105">
        <v>42936</v>
      </c>
      <c r="G46" s="41">
        <v>42947</v>
      </c>
      <c r="H46" s="41">
        <v>42951</v>
      </c>
      <c r="I46" s="41">
        <v>42961</v>
      </c>
      <c r="J46" s="41">
        <v>42968</v>
      </c>
      <c r="K46" s="41">
        <v>42950</v>
      </c>
      <c r="L46" s="41">
        <v>42965</v>
      </c>
      <c r="M46" s="42"/>
      <c r="N46" s="42"/>
      <c r="O46" s="67">
        <v>43094</v>
      </c>
      <c r="P46" s="41">
        <v>43018</v>
      </c>
      <c r="Q46" s="67">
        <v>43105</v>
      </c>
      <c r="R46" s="67">
        <v>43129</v>
      </c>
      <c r="S46" s="67">
        <v>43131</v>
      </c>
      <c r="T46" s="67">
        <v>43182</v>
      </c>
      <c r="U46" s="106" t="s">
        <v>356</v>
      </c>
      <c r="V46" s="106" t="s">
        <v>145</v>
      </c>
      <c r="W46" s="104"/>
      <c r="X46" s="38"/>
      <c r="Y46" s="38"/>
    </row>
    <row r="47" spans="1:25" ht="21.75" customHeight="1" x14ac:dyDescent="0.15">
      <c r="A47" s="90"/>
      <c r="B47" s="91"/>
      <c r="C47" s="93"/>
      <c r="D47" s="45" t="s">
        <v>110</v>
      </c>
      <c r="E47" s="52" t="s">
        <v>55</v>
      </c>
      <c r="F47" s="95"/>
      <c r="G47" s="41">
        <v>42948</v>
      </c>
      <c r="H47" s="41">
        <v>42951</v>
      </c>
      <c r="I47" s="41">
        <v>42961</v>
      </c>
      <c r="J47" s="41">
        <v>42958</v>
      </c>
      <c r="K47" s="41">
        <v>42950</v>
      </c>
      <c r="L47" s="41">
        <v>42972</v>
      </c>
      <c r="M47" s="39" t="str">
        <f ca="1">IF(M46="","注意",IF(M46=TODAY(),"预警",IF(M46&lt;TODAY(),"延期","")))</f>
        <v>注意</v>
      </c>
      <c r="N47" s="39" t="str">
        <f ca="1">IF(N46="","注意",IF(N46=TODAY(),"预警",IF(N46&lt;TODAY(),"延期","")))</f>
        <v>注意</v>
      </c>
      <c r="O47" s="39" t="str">
        <f ca="1">IF(O46="","注意",IF(O46=TODAY(),"预警",IF(O46&lt;TODAY(),"延期","")))</f>
        <v/>
      </c>
      <c r="P47" s="41">
        <v>43018</v>
      </c>
      <c r="Q47" s="39" t="str">
        <f ca="1">IF(Q46="","注意",IF(Q46=TODAY(),"预警",IF(Q46&lt;TODAY(),"延期","")))</f>
        <v/>
      </c>
      <c r="R47" s="39" t="str">
        <f ca="1">IF(R46="","注意",IF(R46=TODAY(),"预警",IF(R46&lt;TODAY(),"延期","")))</f>
        <v/>
      </c>
      <c r="S47" s="39" t="str">
        <f ca="1">IF(S46="","注意",IF(S46=TODAY(),"预警",IF(S46&lt;TODAY(),"延期","")))</f>
        <v/>
      </c>
      <c r="T47" s="39" t="str">
        <f ca="1">IF(T46="","注意",IF(T46=TODAY(),"预警",IF(T46&lt;TODAY(),"延期","")))</f>
        <v/>
      </c>
      <c r="U47" s="97"/>
      <c r="V47" s="97"/>
      <c r="W47" s="93"/>
      <c r="X47" s="38"/>
      <c r="Y47" s="38"/>
    </row>
    <row r="48" spans="1:25" ht="21.75" customHeight="1" x14ac:dyDescent="0.15">
      <c r="A48" s="89">
        <v>24</v>
      </c>
      <c r="B48" s="91" t="s">
        <v>146</v>
      </c>
      <c r="C48" s="92" t="s">
        <v>121</v>
      </c>
      <c r="D48" s="47" t="s">
        <v>103</v>
      </c>
      <c r="E48" s="52" t="s">
        <v>192</v>
      </c>
      <c r="F48" s="94">
        <v>42943</v>
      </c>
      <c r="G48" s="41">
        <v>42951</v>
      </c>
      <c r="H48" s="41">
        <v>42955</v>
      </c>
      <c r="I48" s="41">
        <v>42962</v>
      </c>
      <c r="J48" s="41">
        <v>42968</v>
      </c>
      <c r="K48" s="41">
        <v>42958</v>
      </c>
      <c r="L48" s="41">
        <v>42972</v>
      </c>
      <c r="M48" s="42"/>
      <c r="N48" s="42"/>
      <c r="O48" s="41">
        <v>42976</v>
      </c>
      <c r="P48" s="41">
        <v>43005</v>
      </c>
      <c r="Q48" s="41">
        <v>42997</v>
      </c>
      <c r="R48" s="42">
        <v>43019</v>
      </c>
      <c r="S48" s="42">
        <v>43024</v>
      </c>
      <c r="T48" s="42">
        <v>43060</v>
      </c>
      <c r="U48" s="114" t="s">
        <v>341</v>
      </c>
      <c r="V48" s="96" t="s">
        <v>115</v>
      </c>
      <c r="W48" s="92">
        <v>1</v>
      </c>
      <c r="X48" s="38"/>
      <c r="Y48" s="38"/>
    </row>
    <row r="49" spans="1:25" ht="21.75" customHeight="1" x14ac:dyDescent="0.15">
      <c r="A49" s="90"/>
      <c r="B49" s="91"/>
      <c r="C49" s="93"/>
      <c r="D49" s="47" t="s">
        <v>103</v>
      </c>
      <c r="E49" s="52" t="s">
        <v>192</v>
      </c>
      <c r="F49" s="95"/>
      <c r="G49" s="41">
        <v>42951</v>
      </c>
      <c r="H49" s="41">
        <v>42955</v>
      </c>
      <c r="I49" s="41">
        <v>42962</v>
      </c>
      <c r="J49" s="41">
        <v>42965</v>
      </c>
      <c r="K49" s="41">
        <v>42954</v>
      </c>
      <c r="L49" s="41">
        <v>42971</v>
      </c>
      <c r="M49" s="39" t="str">
        <f ca="1">IF(M48="","注意",IF(M48=TODAY(),"预警",IF(M48&lt;TODAY(),"延期","")))</f>
        <v>注意</v>
      </c>
      <c r="N49" s="39" t="str">
        <f ca="1">IF(N48="","注意",IF(N48=TODAY(),"预警",IF(N48&lt;TODAY(),"延期","")))</f>
        <v>注意</v>
      </c>
      <c r="O49" s="41">
        <v>42968</v>
      </c>
      <c r="P49" s="41">
        <v>43005</v>
      </c>
      <c r="Q49" s="41">
        <v>42979</v>
      </c>
      <c r="R49" s="39" t="str">
        <f ca="1">IF(R48="","注意",IF(R48=TODAY(),"预警",IF(R48&lt;TODAY(),"延期","")))</f>
        <v>延期</v>
      </c>
      <c r="S49" s="39" t="str">
        <f ca="1">IF(S48="","注意",IF(S48=TODAY(),"预警",IF(S48&lt;TODAY(),"延期","")))</f>
        <v>延期</v>
      </c>
      <c r="T49" s="39" t="str">
        <f ca="1">IF(T48="","注意",IF(T48=TODAY(),"预警",IF(T48&lt;TODAY(),"延期","")))</f>
        <v>延期</v>
      </c>
      <c r="U49" s="115"/>
      <c r="V49" s="97"/>
      <c r="W49" s="93"/>
      <c r="X49" s="38"/>
      <c r="Y49" s="38"/>
    </row>
    <row r="50" spans="1:25" ht="21.75" customHeight="1" x14ac:dyDescent="0.15">
      <c r="A50" s="89">
        <v>25</v>
      </c>
      <c r="B50" s="91" t="s">
        <v>147</v>
      </c>
      <c r="C50" s="92" t="s">
        <v>121</v>
      </c>
      <c r="D50" s="48" t="s">
        <v>148</v>
      </c>
      <c r="E50" s="52" t="s">
        <v>192</v>
      </c>
      <c r="F50" s="94">
        <v>42971</v>
      </c>
      <c r="G50" s="41">
        <v>42956</v>
      </c>
      <c r="H50" s="41">
        <v>42958</v>
      </c>
      <c r="I50" s="41">
        <v>42968</v>
      </c>
      <c r="J50" s="41">
        <v>42975</v>
      </c>
      <c r="K50" s="41">
        <v>42958</v>
      </c>
      <c r="L50" s="41">
        <v>42976</v>
      </c>
      <c r="M50" s="42"/>
      <c r="N50" s="42"/>
      <c r="O50" s="41">
        <v>43000</v>
      </c>
      <c r="P50" s="41">
        <v>43034</v>
      </c>
      <c r="Q50" s="41">
        <v>43034</v>
      </c>
      <c r="R50" s="42">
        <v>43048</v>
      </c>
      <c r="S50" s="42">
        <v>43053</v>
      </c>
      <c r="T50" s="42">
        <v>43089</v>
      </c>
      <c r="U50" s="96" t="s">
        <v>358</v>
      </c>
      <c r="V50" s="96" t="s">
        <v>149</v>
      </c>
      <c r="W50" s="92">
        <v>1</v>
      </c>
      <c r="X50" s="38"/>
      <c r="Y50" s="38"/>
    </row>
    <row r="51" spans="1:25" ht="21.75" customHeight="1" x14ac:dyDescent="0.15">
      <c r="A51" s="90"/>
      <c r="B51" s="91"/>
      <c r="C51" s="93"/>
      <c r="D51" s="48" t="s">
        <v>148</v>
      </c>
      <c r="E51" s="52" t="s">
        <v>192</v>
      </c>
      <c r="F51" s="95"/>
      <c r="G51" s="41">
        <v>42956</v>
      </c>
      <c r="H51" s="41">
        <v>42958</v>
      </c>
      <c r="I51" s="41">
        <v>42968</v>
      </c>
      <c r="J51" s="41">
        <v>42972</v>
      </c>
      <c r="K51" s="41">
        <v>42969</v>
      </c>
      <c r="L51" s="41">
        <v>42972</v>
      </c>
      <c r="M51" s="39" t="str">
        <f ca="1">IF(M50="","注意",IF(M50=TODAY(),"预警",IF(M50&lt;TODAY(),"延期","")))</f>
        <v>注意</v>
      </c>
      <c r="N51" s="39" t="str">
        <f ca="1">IF(N50="","注意",IF(N50=TODAY(),"预警",IF(N50&lt;TODAY(),"延期","")))</f>
        <v>注意</v>
      </c>
      <c r="O51" s="41">
        <v>43000</v>
      </c>
      <c r="P51" s="41">
        <v>43031</v>
      </c>
      <c r="Q51" s="41">
        <v>43027</v>
      </c>
      <c r="R51" s="39" t="str">
        <f ca="1">IF(R50="","注意",IF(R50=TODAY(),"预警",IF(R50&lt;TODAY(),"延期","")))</f>
        <v>延期</v>
      </c>
      <c r="S51" s="39" t="str">
        <f ca="1">IF(S50="","注意",IF(S50=TODAY(),"预警",IF(S50&lt;TODAY(),"延期","")))</f>
        <v>延期</v>
      </c>
      <c r="T51" s="39" t="str">
        <f ca="1">IF(T50="","注意",IF(T50=TODAY(),"预警",IF(T50&lt;TODAY(),"延期","")))</f>
        <v/>
      </c>
      <c r="U51" s="97"/>
      <c r="V51" s="97"/>
      <c r="W51" s="93"/>
      <c r="X51" s="38"/>
      <c r="Y51" s="38"/>
    </row>
    <row r="52" spans="1:25" ht="21.75" customHeight="1" x14ac:dyDescent="0.15">
      <c r="A52" s="89">
        <v>26</v>
      </c>
      <c r="B52" s="91" t="s">
        <v>150</v>
      </c>
      <c r="C52" s="92" t="s">
        <v>121</v>
      </c>
      <c r="D52" s="48" t="s">
        <v>148</v>
      </c>
      <c r="E52" s="52" t="s">
        <v>192</v>
      </c>
      <c r="F52" s="94">
        <v>42971</v>
      </c>
      <c r="G52" s="41">
        <v>42955</v>
      </c>
      <c r="H52" s="41">
        <v>42957</v>
      </c>
      <c r="I52" s="41">
        <v>42963</v>
      </c>
      <c r="J52" s="41">
        <v>42968</v>
      </c>
      <c r="K52" s="41">
        <v>42955</v>
      </c>
      <c r="L52" s="41">
        <v>42970</v>
      </c>
      <c r="M52" s="42"/>
      <c r="N52" s="42"/>
      <c r="O52" s="41">
        <v>42978</v>
      </c>
      <c r="P52" s="41">
        <v>43026</v>
      </c>
      <c r="Q52" s="41">
        <v>42998</v>
      </c>
      <c r="R52" s="42">
        <v>43017</v>
      </c>
      <c r="S52" s="42">
        <v>43020</v>
      </c>
      <c r="T52" s="42">
        <v>43054</v>
      </c>
      <c r="U52" s="96" t="s">
        <v>359</v>
      </c>
      <c r="V52" s="96" t="s">
        <v>151</v>
      </c>
      <c r="W52" s="92">
        <v>1</v>
      </c>
      <c r="X52" s="38"/>
      <c r="Y52" s="38"/>
    </row>
    <row r="53" spans="1:25" ht="21.75" customHeight="1" x14ac:dyDescent="0.15">
      <c r="A53" s="90"/>
      <c r="B53" s="91"/>
      <c r="C53" s="93"/>
      <c r="D53" s="48" t="s">
        <v>148</v>
      </c>
      <c r="E53" s="52" t="s">
        <v>192</v>
      </c>
      <c r="F53" s="95"/>
      <c r="G53" s="41">
        <v>42955</v>
      </c>
      <c r="H53" s="41">
        <v>42957</v>
      </c>
      <c r="I53" s="41">
        <v>42963</v>
      </c>
      <c r="J53" s="41">
        <v>42968</v>
      </c>
      <c r="K53" s="41">
        <v>42958</v>
      </c>
      <c r="L53" s="41">
        <v>42970</v>
      </c>
      <c r="M53" s="39" t="str">
        <f ca="1">IF(M52="","注意",IF(M52=TODAY(),"预警",IF(M52&lt;TODAY(),"延期","")))</f>
        <v>注意</v>
      </c>
      <c r="N53" s="39" t="str">
        <f ca="1">IF(N52="","注意",IF(N52=TODAY(),"预警",IF(N52&lt;TODAY(),"延期","")))</f>
        <v>注意</v>
      </c>
      <c r="O53" s="41">
        <v>42978</v>
      </c>
      <c r="P53" s="41">
        <v>43031</v>
      </c>
      <c r="Q53" s="41">
        <v>43000</v>
      </c>
      <c r="R53" s="39" t="str">
        <f ca="1">IF(R52="","注意",IF(R52=TODAY(),"预警",IF(R52&lt;TODAY(),"延期","")))</f>
        <v>延期</v>
      </c>
      <c r="S53" s="39" t="str">
        <f ca="1">IF(S52="","注意",IF(S52=TODAY(),"预警",IF(S52&lt;TODAY(),"延期","")))</f>
        <v>延期</v>
      </c>
      <c r="T53" s="39" t="str">
        <f ca="1">IF(T52="","注意",IF(T52=TODAY(),"预警",IF(T52&lt;TODAY(),"延期","")))</f>
        <v>延期</v>
      </c>
      <c r="U53" s="97"/>
      <c r="V53" s="97"/>
      <c r="W53" s="93"/>
      <c r="X53" s="38"/>
      <c r="Y53" s="38"/>
    </row>
    <row r="54" spans="1:25" ht="21.75" customHeight="1" x14ac:dyDescent="0.15">
      <c r="A54" s="89">
        <v>27</v>
      </c>
      <c r="B54" s="91" t="s">
        <v>152</v>
      </c>
      <c r="C54" s="92" t="s">
        <v>121</v>
      </c>
      <c r="D54" s="48" t="s">
        <v>103</v>
      </c>
      <c r="E54" s="52" t="s">
        <v>192</v>
      </c>
      <c r="F54" s="94">
        <v>42971</v>
      </c>
      <c r="G54" s="41">
        <v>42961</v>
      </c>
      <c r="H54" s="41">
        <v>42964</v>
      </c>
      <c r="I54" s="41">
        <v>42972</v>
      </c>
      <c r="J54" s="41">
        <v>42978</v>
      </c>
      <c r="K54" s="41">
        <v>42963</v>
      </c>
      <c r="L54" s="41">
        <v>42979</v>
      </c>
      <c r="M54" s="42"/>
      <c r="N54" s="42"/>
      <c r="O54" s="41">
        <v>42979</v>
      </c>
      <c r="P54" s="41">
        <v>43026</v>
      </c>
      <c r="Q54" s="41">
        <v>42998</v>
      </c>
      <c r="R54" s="42">
        <v>43028</v>
      </c>
      <c r="S54" s="42">
        <v>43033</v>
      </c>
      <c r="T54" s="42">
        <v>43069</v>
      </c>
      <c r="U54" s="96" t="s">
        <v>183</v>
      </c>
      <c r="V54" s="96" t="s">
        <v>115</v>
      </c>
      <c r="W54" s="92">
        <v>1</v>
      </c>
      <c r="X54" s="38"/>
      <c r="Y54" s="38"/>
    </row>
    <row r="55" spans="1:25" ht="21.75" customHeight="1" x14ac:dyDescent="0.15">
      <c r="A55" s="90"/>
      <c r="B55" s="91"/>
      <c r="C55" s="93"/>
      <c r="D55" s="48" t="s">
        <v>103</v>
      </c>
      <c r="E55" s="52" t="s">
        <v>192</v>
      </c>
      <c r="F55" s="95"/>
      <c r="G55" s="41">
        <v>42961</v>
      </c>
      <c r="H55" s="41">
        <v>42964</v>
      </c>
      <c r="I55" s="41">
        <v>42972</v>
      </c>
      <c r="J55" s="41">
        <v>42975</v>
      </c>
      <c r="K55" s="41">
        <v>42969</v>
      </c>
      <c r="L55" s="41">
        <v>42992</v>
      </c>
      <c r="M55" s="39" t="str">
        <f ca="1">IF(M54="","注意",IF(M54=TODAY(),"预警",IF(M54&lt;TODAY(),"延期","")))</f>
        <v>注意</v>
      </c>
      <c r="N55" s="39" t="str">
        <f ca="1">IF(N54="","注意",IF(N54=TODAY(),"预警",IF(N54&lt;TODAY(),"延期","")))</f>
        <v>注意</v>
      </c>
      <c r="O55" s="41">
        <v>42979</v>
      </c>
      <c r="P55" s="41">
        <v>43031</v>
      </c>
      <c r="Q55" s="41">
        <v>43000</v>
      </c>
      <c r="R55" s="39" t="str">
        <f ca="1">IF(R54="","注意",IF(R54=TODAY(),"预警",IF(R54&lt;TODAY(),"延期","")))</f>
        <v>延期</v>
      </c>
      <c r="S55" s="39" t="str">
        <f ca="1">IF(S54="","注意",IF(S54=TODAY(),"预警",IF(S54&lt;TODAY(),"延期","")))</f>
        <v>延期</v>
      </c>
      <c r="T55" s="39" t="str">
        <f ca="1">IF(T54="","注意",IF(T54=TODAY(),"预警",IF(T54&lt;TODAY(),"延期","")))</f>
        <v/>
      </c>
      <c r="U55" s="97"/>
      <c r="V55" s="97"/>
      <c r="W55" s="93"/>
      <c r="X55" s="38"/>
      <c r="Y55" s="38"/>
    </row>
    <row r="56" spans="1:25" ht="30.75" customHeight="1" x14ac:dyDescent="0.15">
      <c r="A56" s="89">
        <v>28</v>
      </c>
      <c r="B56" s="91" t="s">
        <v>153</v>
      </c>
      <c r="C56" s="92" t="s">
        <v>121</v>
      </c>
      <c r="D56" s="48" t="s">
        <v>148</v>
      </c>
      <c r="E56" s="52" t="s">
        <v>192</v>
      </c>
      <c r="F56" s="94">
        <v>42971</v>
      </c>
      <c r="G56" s="41">
        <v>42964</v>
      </c>
      <c r="H56" s="41">
        <v>42969</v>
      </c>
      <c r="I56" s="41">
        <v>42977</v>
      </c>
      <c r="J56" s="41">
        <v>42983</v>
      </c>
      <c r="K56" s="41">
        <v>42969</v>
      </c>
      <c r="L56" s="41">
        <v>42985</v>
      </c>
      <c r="M56" s="42"/>
      <c r="N56" s="42"/>
      <c r="O56" s="41">
        <v>43021</v>
      </c>
      <c r="P56" s="41">
        <v>43034</v>
      </c>
      <c r="Q56" s="41">
        <v>43052</v>
      </c>
      <c r="R56" s="42">
        <v>43073</v>
      </c>
      <c r="S56" s="42">
        <v>43076</v>
      </c>
      <c r="T56" s="42">
        <v>43117</v>
      </c>
      <c r="U56" s="96" t="s">
        <v>360</v>
      </c>
      <c r="V56" s="96" t="s">
        <v>149</v>
      </c>
      <c r="W56" s="92">
        <v>1</v>
      </c>
      <c r="X56" s="38"/>
      <c r="Y56" s="38"/>
    </row>
    <row r="57" spans="1:25" ht="30.75" customHeight="1" x14ac:dyDescent="0.15">
      <c r="A57" s="90"/>
      <c r="B57" s="91"/>
      <c r="C57" s="93"/>
      <c r="D57" s="48" t="s">
        <v>148</v>
      </c>
      <c r="E57" s="52" t="s">
        <v>192</v>
      </c>
      <c r="F57" s="95"/>
      <c r="G57" s="41">
        <v>42964</v>
      </c>
      <c r="H57" s="41">
        <v>42970</v>
      </c>
      <c r="I57" s="41">
        <v>42977</v>
      </c>
      <c r="J57" s="41">
        <v>42983</v>
      </c>
      <c r="K57" s="41">
        <v>42972</v>
      </c>
      <c r="L57" s="41">
        <v>42992</v>
      </c>
      <c r="M57" s="39" t="str">
        <f ca="1">IF(M56="","注意",IF(M56=TODAY(),"预警",IF(M56&lt;TODAY(),"延期","")))</f>
        <v>注意</v>
      </c>
      <c r="N57" s="39" t="str">
        <f ca="1">IF(N56="","注意",IF(N56=TODAY(),"预警",IF(N56&lt;TODAY(),"延期","")))</f>
        <v>注意</v>
      </c>
      <c r="O57" s="41">
        <v>43018</v>
      </c>
      <c r="P57" s="41">
        <v>43031</v>
      </c>
      <c r="Q57" s="41">
        <v>43048</v>
      </c>
      <c r="R57" s="39" t="str">
        <f ca="1">IF(R56="","注意",IF(R56=TODAY(),"预警",IF(R56&lt;TODAY(),"延期","")))</f>
        <v/>
      </c>
      <c r="S57" s="39" t="str">
        <f ca="1">IF(S56="","注意",IF(S56=TODAY(),"预警",IF(S56&lt;TODAY(),"延期","")))</f>
        <v/>
      </c>
      <c r="T57" s="39" t="str">
        <f ca="1">IF(T56="","注意",IF(T56=TODAY(),"预警",IF(T56&lt;TODAY(),"延期","")))</f>
        <v/>
      </c>
      <c r="U57" s="97"/>
      <c r="V57" s="97"/>
      <c r="W57" s="93"/>
      <c r="X57" s="38"/>
      <c r="Y57" s="38"/>
    </row>
    <row r="58" spans="1:25" ht="21.75" customHeight="1" x14ac:dyDescent="0.15">
      <c r="A58" s="89">
        <v>29</v>
      </c>
      <c r="B58" s="91" t="s">
        <v>327</v>
      </c>
      <c r="C58" s="92" t="s">
        <v>102</v>
      </c>
      <c r="D58" s="48" t="s">
        <v>148</v>
      </c>
      <c r="E58" s="52" t="s">
        <v>56</v>
      </c>
      <c r="F58" s="94">
        <v>42976</v>
      </c>
      <c r="G58" s="41">
        <v>42986</v>
      </c>
      <c r="H58" s="41">
        <v>42991</v>
      </c>
      <c r="I58" s="41">
        <v>42999</v>
      </c>
      <c r="J58" s="41">
        <v>43004</v>
      </c>
      <c r="K58" s="41">
        <v>42996</v>
      </c>
      <c r="L58" s="41">
        <v>43017</v>
      </c>
      <c r="M58" s="42"/>
      <c r="N58" s="42"/>
      <c r="O58" s="41">
        <v>43032</v>
      </c>
      <c r="P58" s="41">
        <v>43038</v>
      </c>
      <c r="Q58" s="42">
        <v>43077</v>
      </c>
      <c r="R58" s="42">
        <v>43077</v>
      </c>
      <c r="S58" s="42">
        <v>43082</v>
      </c>
      <c r="T58" s="42">
        <v>43117</v>
      </c>
      <c r="U58" s="96" t="s">
        <v>362</v>
      </c>
      <c r="V58" s="96" t="s">
        <v>154</v>
      </c>
      <c r="W58" s="92">
        <v>1</v>
      </c>
      <c r="X58" s="38"/>
      <c r="Y58" s="38"/>
    </row>
    <row r="59" spans="1:25" ht="21.75" customHeight="1" x14ac:dyDescent="0.15">
      <c r="A59" s="90"/>
      <c r="B59" s="91"/>
      <c r="C59" s="93"/>
      <c r="D59" s="48" t="s">
        <v>148</v>
      </c>
      <c r="E59" s="52" t="s">
        <v>56</v>
      </c>
      <c r="F59" s="95"/>
      <c r="G59" s="41">
        <v>42985</v>
      </c>
      <c r="H59" s="41">
        <v>42991</v>
      </c>
      <c r="I59" s="41">
        <v>42999</v>
      </c>
      <c r="J59" s="41">
        <v>43004</v>
      </c>
      <c r="K59" s="41">
        <v>42992</v>
      </c>
      <c r="L59" s="41">
        <v>43017</v>
      </c>
      <c r="M59" s="39" t="str">
        <f ca="1">IF(M58="","注意",IF(M58=TODAY(),"预警",IF(M58&lt;TODAY(),"延期","")))</f>
        <v>注意</v>
      </c>
      <c r="N59" s="39" t="str">
        <f ca="1">IF(N58="","注意",IF(N58=TODAY(),"预警",IF(N58&lt;TODAY(),"延期","")))</f>
        <v>注意</v>
      </c>
      <c r="O59" s="41">
        <v>43038</v>
      </c>
      <c r="P59" s="41">
        <v>43049</v>
      </c>
      <c r="Q59" s="39" t="str">
        <f ca="1">IF(Q58="","注意",IF(Q58=TODAY(),"预警",IF(Q58&lt;TODAY(),"延期","")))</f>
        <v/>
      </c>
      <c r="R59" s="39" t="str">
        <f ca="1">IF(R58="","注意",IF(R58=TODAY(),"预警",IF(R58&lt;TODAY(),"延期","")))</f>
        <v/>
      </c>
      <c r="S59" s="39" t="str">
        <f ca="1">IF(S58="","注意",IF(S58=TODAY(),"预警",IF(S58&lt;TODAY(),"延期","")))</f>
        <v/>
      </c>
      <c r="T59" s="39" t="str">
        <f ca="1">IF(T58="","注意",IF(T58=TODAY(),"预警",IF(T58&lt;TODAY(),"延期","")))</f>
        <v/>
      </c>
      <c r="U59" s="97"/>
      <c r="V59" s="97"/>
      <c r="W59" s="93"/>
      <c r="X59" s="38"/>
      <c r="Y59" s="38"/>
    </row>
    <row r="60" spans="1:25" ht="30" customHeight="1" x14ac:dyDescent="0.15">
      <c r="A60" s="89">
        <v>30</v>
      </c>
      <c r="B60" s="91" t="s">
        <v>155</v>
      </c>
      <c r="C60" s="92" t="s">
        <v>121</v>
      </c>
      <c r="D60" s="47" t="s">
        <v>103</v>
      </c>
      <c r="E60" s="52" t="s">
        <v>192</v>
      </c>
      <c r="F60" s="94">
        <v>42978</v>
      </c>
      <c r="G60" s="41">
        <v>42985</v>
      </c>
      <c r="H60" s="41">
        <v>42986</v>
      </c>
      <c r="I60" s="41">
        <v>42996</v>
      </c>
      <c r="J60" s="41">
        <v>43000</v>
      </c>
      <c r="K60" s="41">
        <v>42989</v>
      </c>
      <c r="L60" s="41">
        <v>43004</v>
      </c>
      <c r="M60" s="42"/>
      <c r="N60" s="42"/>
      <c r="O60" s="42"/>
      <c r="P60" s="41">
        <v>43055</v>
      </c>
      <c r="Q60" s="42"/>
      <c r="R60" s="42"/>
      <c r="S60" s="42"/>
      <c r="T60" s="42"/>
      <c r="U60" s="96" t="s">
        <v>343</v>
      </c>
      <c r="V60" s="96" t="s">
        <v>156</v>
      </c>
      <c r="W60" s="92">
        <v>1</v>
      </c>
      <c r="X60" s="38"/>
      <c r="Y60" s="38"/>
    </row>
    <row r="61" spans="1:25" ht="30" customHeight="1" x14ac:dyDescent="0.15">
      <c r="A61" s="90"/>
      <c r="B61" s="91"/>
      <c r="C61" s="93"/>
      <c r="D61" s="47" t="s">
        <v>103</v>
      </c>
      <c r="E61" s="52" t="s">
        <v>192</v>
      </c>
      <c r="F61" s="95"/>
      <c r="G61" s="41">
        <v>42985</v>
      </c>
      <c r="H61" s="41">
        <v>42986</v>
      </c>
      <c r="I61" s="41">
        <v>42996</v>
      </c>
      <c r="J61" s="41">
        <v>43000</v>
      </c>
      <c r="K61" s="41">
        <v>42991</v>
      </c>
      <c r="L61" s="41">
        <v>43021</v>
      </c>
      <c r="M61" s="39" t="str">
        <f ca="1">IF(M60="","注意",IF(M60=TODAY(),"预警",IF(M60&lt;TODAY(),"延期","")))</f>
        <v>注意</v>
      </c>
      <c r="N61" s="39" t="str">
        <f ca="1">IF(N60="","注意",IF(N60=TODAY(),"预警",IF(N60&lt;TODAY(),"延期","")))</f>
        <v>注意</v>
      </c>
      <c r="O61" s="39"/>
      <c r="P61" s="41">
        <v>43060</v>
      </c>
      <c r="Q61" s="39"/>
      <c r="R61" s="39"/>
      <c r="S61" s="39"/>
      <c r="T61" s="39"/>
      <c r="U61" s="97"/>
      <c r="V61" s="97"/>
      <c r="W61" s="93"/>
      <c r="X61" s="38"/>
      <c r="Y61" s="38"/>
    </row>
    <row r="62" spans="1:25" ht="39" customHeight="1" x14ac:dyDescent="0.15">
      <c r="A62" s="89">
        <v>31</v>
      </c>
      <c r="B62" s="91" t="s">
        <v>369</v>
      </c>
      <c r="C62" s="92" t="s">
        <v>121</v>
      </c>
      <c r="D62" s="47" t="s">
        <v>103</v>
      </c>
      <c r="E62" s="52" t="s">
        <v>192</v>
      </c>
      <c r="F62" s="94">
        <v>42978</v>
      </c>
      <c r="G62" s="41">
        <v>42990</v>
      </c>
      <c r="H62" s="41">
        <v>42991</v>
      </c>
      <c r="I62" s="41">
        <v>42999</v>
      </c>
      <c r="J62" s="41">
        <v>43056</v>
      </c>
      <c r="K62" s="41">
        <v>42991</v>
      </c>
      <c r="L62" s="41">
        <v>43007</v>
      </c>
      <c r="M62" s="41" t="s">
        <v>104</v>
      </c>
      <c r="N62" s="41" t="s">
        <v>104</v>
      </c>
      <c r="O62" s="41" t="s">
        <v>104</v>
      </c>
      <c r="P62" s="41">
        <v>43055</v>
      </c>
      <c r="Q62" s="41">
        <v>43056</v>
      </c>
      <c r="R62" s="41" t="s">
        <v>104</v>
      </c>
      <c r="S62" s="41" t="s">
        <v>104</v>
      </c>
      <c r="T62" s="41" t="s">
        <v>104</v>
      </c>
      <c r="U62" s="96" t="s">
        <v>363</v>
      </c>
      <c r="V62" s="96" t="s">
        <v>156</v>
      </c>
      <c r="W62" s="92">
        <v>1</v>
      </c>
      <c r="X62" s="38"/>
      <c r="Y62" s="38"/>
    </row>
    <row r="63" spans="1:25" ht="39" customHeight="1" x14ac:dyDescent="0.15">
      <c r="A63" s="90"/>
      <c r="B63" s="91"/>
      <c r="C63" s="93"/>
      <c r="D63" s="47" t="s">
        <v>103</v>
      </c>
      <c r="E63" s="52" t="s">
        <v>192</v>
      </c>
      <c r="F63" s="95"/>
      <c r="G63" s="41">
        <v>42990</v>
      </c>
      <c r="H63" s="41">
        <v>42991</v>
      </c>
      <c r="I63" s="41">
        <v>42999</v>
      </c>
      <c r="J63" s="41">
        <v>43055</v>
      </c>
      <c r="K63" s="41">
        <v>42991</v>
      </c>
      <c r="L63" s="41">
        <v>43021</v>
      </c>
      <c r="M63" s="41" t="s">
        <v>104</v>
      </c>
      <c r="N63" s="41" t="s">
        <v>104</v>
      </c>
      <c r="O63" s="41" t="s">
        <v>104</v>
      </c>
      <c r="P63" s="41">
        <v>43060</v>
      </c>
      <c r="Q63" s="41"/>
      <c r="R63" s="41" t="s">
        <v>104</v>
      </c>
      <c r="S63" s="41" t="s">
        <v>104</v>
      </c>
      <c r="T63" s="41" t="s">
        <v>104</v>
      </c>
      <c r="U63" s="97"/>
      <c r="V63" s="97"/>
      <c r="W63" s="93"/>
      <c r="X63" s="38"/>
      <c r="Y63" s="38"/>
    </row>
    <row r="64" spans="1:25" ht="30" customHeight="1" x14ac:dyDescent="0.15">
      <c r="A64" s="89">
        <v>32</v>
      </c>
      <c r="B64" s="91" t="s">
        <v>373</v>
      </c>
      <c r="C64" s="92" t="s">
        <v>102</v>
      </c>
      <c r="D64" s="62" t="s">
        <v>110</v>
      </c>
      <c r="E64" s="52" t="s">
        <v>55</v>
      </c>
      <c r="F64" s="105">
        <v>42984</v>
      </c>
      <c r="G64" s="41" t="s">
        <v>104</v>
      </c>
      <c r="H64" s="41" t="s">
        <v>104</v>
      </c>
      <c r="I64" s="41" t="s">
        <v>104</v>
      </c>
      <c r="J64" s="41" t="s">
        <v>104</v>
      </c>
      <c r="K64" s="41" t="s">
        <v>104</v>
      </c>
      <c r="L64" s="41" t="s">
        <v>104</v>
      </c>
      <c r="M64" s="41" t="s">
        <v>104</v>
      </c>
      <c r="N64" s="41" t="s">
        <v>104</v>
      </c>
      <c r="O64" s="42">
        <v>43075</v>
      </c>
      <c r="P64" s="41" t="s">
        <v>104</v>
      </c>
      <c r="Q64" s="42">
        <v>43094</v>
      </c>
      <c r="R64" s="42">
        <v>43094</v>
      </c>
      <c r="S64" s="42">
        <v>43100</v>
      </c>
      <c r="T64" s="41" t="s">
        <v>104</v>
      </c>
      <c r="U64" s="106" t="s">
        <v>364</v>
      </c>
      <c r="V64" s="106" t="s">
        <v>158</v>
      </c>
      <c r="W64" s="104">
        <v>1</v>
      </c>
      <c r="X64" s="38"/>
      <c r="Y64" s="38"/>
    </row>
    <row r="65" spans="1:25" ht="30" customHeight="1" x14ac:dyDescent="0.15">
      <c r="A65" s="90"/>
      <c r="B65" s="91"/>
      <c r="C65" s="93"/>
      <c r="D65" s="62" t="s">
        <v>110</v>
      </c>
      <c r="E65" s="52" t="s">
        <v>55</v>
      </c>
      <c r="F65" s="95"/>
      <c r="G65" s="41" t="s">
        <v>104</v>
      </c>
      <c r="H65" s="41" t="s">
        <v>104</v>
      </c>
      <c r="I65" s="41" t="s">
        <v>104</v>
      </c>
      <c r="J65" s="41" t="s">
        <v>104</v>
      </c>
      <c r="K65" s="41" t="s">
        <v>104</v>
      </c>
      <c r="L65" s="41" t="s">
        <v>104</v>
      </c>
      <c r="M65" s="41" t="s">
        <v>104</v>
      </c>
      <c r="N65" s="41" t="s">
        <v>104</v>
      </c>
      <c r="O65" s="39" t="str">
        <f ca="1">IF(O64="","注意",IF(O64=TODAY(),"预警",IF(O64&lt;TODAY(),"延期","")))</f>
        <v/>
      </c>
      <c r="P65" s="41" t="s">
        <v>104</v>
      </c>
      <c r="Q65" s="39" t="str">
        <f ca="1">IF(Q64="","注意",IF(Q64=TODAY(),"预警",IF(Q64&lt;TODAY(),"延期","")))</f>
        <v/>
      </c>
      <c r="R65" s="39" t="str">
        <f ca="1">IF(R64="","注意",IF(R64=TODAY(),"预警",IF(R64&lt;TODAY(),"延期","")))</f>
        <v/>
      </c>
      <c r="S65" s="39" t="str">
        <f ca="1">IF(S64="","注意",IF(S64=TODAY(),"预警",IF(S64&lt;TODAY(),"延期","")))</f>
        <v/>
      </c>
      <c r="T65" s="41" t="s">
        <v>104</v>
      </c>
      <c r="U65" s="97"/>
      <c r="V65" s="97"/>
      <c r="W65" s="93"/>
      <c r="X65" s="38"/>
      <c r="Y65" s="38"/>
    </row>
    <row r="66" spans="1:25" ht="30" customHeight="1" x14ac:dyDescent="0.15">
      <c r="A66" s="89">
        <v>33</v>
      </c>
      <c r="B66" s="91" t="s">
        <v>159</v>
      </c>
      <c r="C66" s="92" t="s">
        <v>102</v>
      </c>
      <c r="D66" s="62" t="s">
        <v>110</v>
      </c>
      <c r="E66" s="52" t="s">
        <v>55</v>
      </c>
      <c r="F66" s="94">
        <v>42986</v>
      </c>
      <c r="G66" s="41">
        <v>42996</v>
      </c>
      <c r="H66" s="41">
        <v>42999</v>
      </c>
      <c r="I66" s="41">
        <v>43007</v>
      </c>
      <c r="J66" s="41">
        <v>43019</v>
      </c>
      <c r="K66" s="41">
        <v>42999</v>
      </c>
      <c r="L66" s="41">
        <v>43026</v>
      </c>
      <c r="M66" s="42"/>
      <c r="N66" s="42"/>
      <c r="O66" s="42">
        <v>43052</v>
      </c>
      <c r="P66" s="42">
        <v>43066</v>
      </c>
      <c r="Q66" s="42">
        <v>43080</v>
      </c>
      <c r="R66" s="42">
        <v>43098</v>
      </c>
      <c r="S66" s="42">
        <v>43105</v>
      </c>
      <c r="T66" s="42">
        <v>43143</v>
      </c>
      <c r="U66" s="96" t="s">
        <v>357</v>
      </c>
      <c r="V66" s="96" t="s">
        <v>126</v>
      </c>
      <c r="W66" s="92">
        <v>1</v>
      </c>
      <c r="X66" s="38"/>
      <c r="Y66" s="38"/>
    </row>
    <row r="67" spans="1:25" ht="30" customHeight="1" x14ac:dyDescent="0.15">
      <c r="A67" s="90"/>
      <c r="B67" s="91"/>
      <c r="C67" s="93"/>
      <c r="D67" s="62" t="s">
        <v>110</v>
      </c>
      <c r="E67" s="52" t="s">
        <v>55</v>
      </c>
      <c r="F67" s="95"/>
      <c r="G67" s="41">
        <v>42996</v>
      </c>
      <c r="H67" s="41">
        <v>42999</v>
      </c>
      <c r="I67" s="41">
        <v>43007</v>
      </c>
      <c r="J67" s="41">
        <v>43019</v>
      </c>
      <c r="K67" s="41">
        <v>43000</v>
      </c>
      <c r="L67" s="41">
        <v>43021</v>
      </c>
      <c r="M67" s="39" t="str">
        <f t="shared" ref="M67:T67" ca="1" si="4">IF(M66="","注意",IF(M66=TODAY(),"预警",IF(M66&lt;TODAY(),"延期","")))</f>
        <v>注意</v>
      </c>
      <c r="N67" s="39" t="str">
        <f t="shared" ca="1" si="4"/>
        <v>注意</v>
      </c>
      <c r="O67" s="39" t="str">
        <f t="shared" ca="1" si="4"/>
        <v>延期</v>
      </c>
      <c r="P67" s="39" t="str">
        <f t="shared" ca="1" si="4"/>
        <v/>
      </c>
      <c r="Q67" s="39" t="str">
        <f t="shared" ca="1" si="4"/>
        <v/>
      </c>
      <c r="R67" s="39" t="str">
        <f t="shared" ca="1" si="4"/>
        <v/>
      </c>
      <c r="S67" s="39" t="str">
        <f t="shared" ca="1" si="4"/>
        <v/>
      </c>
      <c r="T67" s="39" t="str">
        <f t="shared" ca="1" si="4"/>
        <v/>
      </c>
      <c r="U67" s="97"/>
      <c r="V67" s="97"/>
      <c r="W67" s="93"/>
      <c r="X67" s="38"/>
      <c r="Y67" s="38"/>
    </row>
    <row r="68" spans="1:25" ht="30" customHeight="1" x14ac:dyDescent="0.15">
      <c r="A68" s="89">
        <v>34</v>
      </c>
      <c r="B68" s="91" t="s">
        <v>160</v>
      </c>
      <c r="C68" s="92" t="s">
        <v>102</v>
      </c>
      <c r="D68" s="62" t="s">
        <v>110</v>
      </c>
      <c r="E68" s="52" t="s">
        <v>55</v>
      </c>
      <c r="F68" s="94">
        <v>42986</v>
      </c>
      <c r="G68" s="41">
        <v>43003</v>
      </c>
      <c r="H68" s="41">
        <v>43007</v>
      </c>
      <c r="I68" s="41">
        <v>43021</v>
      </c>
      <c r="J68" s="41">
        <v>43028</v>
      </c>
      <c r="K68" s="41">
        <v>43007</v>
      </c>
      <c r="L68" s="41">
        <v>43034</v>
      </c>
      <c r="M68" s="42"/>
      <c r="N68" s="42"/>
      <c r="O68" s="42">
        <v>43059</v>
      </c>
      <c r="P68" s="42">
        <v>43066</v>
      </c>
      <c r="Q68" s="42">
        <v>43080</v>
      </c>
      <c r="R68" s="42">
        <v>43098</v>
      </c>
      <c r="S68" s="42">
        <v>43105</v>
      </c>
      <c r="T68" s="42">
        <v>43143</v>
      </c>
      <c r="U68" s="96" t="s">
        <v>357</v>
      </c>
      <c r="V68" s="96" t="s">
        <v>126</v>
      </c>
      <c r="W68" s="92">
        <v>1</v>
      </c>
      <c r="X68" s="38"/>
      <c r="Y68" s="38"/>
    </row>
    <row r="69" spans="1:25" ht="30" customHeight="1" x14ac:dyDescent="0.15">
      <c r="A69" s="90"/>
      <c r="B69" s="91"/>
      <c r="C69" s="93"/>
      <c r="D69" s="62" t="s">
        <v>110</v>
      </c>
      <c r="E69" s="52" t="s">
        <v>55</v>
      </c>
      <c r="F69" s="95"/>
      <c r="G69" s="41">
        <v>43003</v>
      </c>
      <c r="H69" s="41">
        <v>43007</v>
      </c>
      <c r="I69" s="41">
        <v>43021</v>
      </c>
      <c r="J69" s="41">
        <v>43028</v>
      </c>
      <c r="K69" s="41">
        <v>43007</v>
      </c>
      <c r="L69" s="41">
        <v>43035</v>
      </c>
      <c r="M69" s="39" t="str">
        <f t="shared" ref="M69:T69" ca="1" si="5">IF(M68="","注意",IF(M68=TODAY(),"预警",IF(M68&lt;TODAY(),"延期","")))</f>
        <v>注意</v>
      </c>
      <c r="N69" s="39" t="str">
        <f t="shared" ca="1" si="5"/>
        <v>注意</v>
      </c>
      <c r="O69" s="39" t="str">
        <f t="shared" ca="1" si="5"/>
        <v>延期</v>
      </c>
      <c r="P69" s="39" t="str">
        <f t="shared" ca="1" si="5"/>
        <v/>
      </c>
      <c r="Q69" s="39" t="str">
        <f t="shared" ca="1" si="5"/>
        <v/>
      </c>
      <c r="R69" s="39" t="str">
        <f t="shared" ca="1" si="5"/>
        <v/>
      </c>
      <c r="S69" s="39" t="str">
        <f t="shared" ca="1" si="5"/>
        <v/>
      </c>
      <c r="T69" s="39" t="str">
        <f t="shared" ca="1" si="5"/>
        <v/>
      </c>
      <c r="U69" s="97"/>
      <c r="V69" s="97"/>
      <c r="W69" s="93"/>
      <c r="X69" s="38"/>
      <c r="Y69" s="38"/>
    </row>
    <row r="70" spans="1:25" ht="30" customHeight="1" x14ac:dyDescent="0.15">
      <c r="A70" s="89">
        <v>35</v>
      </c>
      <c r="B70" s="91" t="s">
        <v>161</v>
      </c>
      <c r="C70" s="92" t="s">
        <v>102</v>
      </c>
      <c r="D70" s="87" t="s">
        <v>110</v>
      </c>
      <c r="E70" s="52" t="s">
        <v>55</v>
      </c>
      <c r="F70" s="94">
        <v>42986</v>
      </c>
      <c r="G70" s="41">
        <v>43021</v>
      </c>
      <c r="H70" s="41">
        <v>43027</v>
      </c>
      <c r="I70" s="41">
        <v>43035</v>
      </c>
      <c r="J70" s="66">
        <v>43049</v>
      </c>
      <c r="K70" s="41">
        <v>43021</v>
      </c>
      <c r="L70" s="41">
        <v>43045</v>
      </c>
      <c r="M70" s="42"/>
      <c r="N70" s="42"/>
      <c r="O70" s="67">
        <v>43075</v>
      </c>
      <c r="P70" s="67">
        <v>43066</v>
      </c>
      <c r="Q70" s="67">
        <v>43088</v>
      </c>
      <c r="R70" s="67">
        <v>43105</v>
      </c>
      <c r="S70" s="67">
        <v>43123</v>
      </c>
      <c r="T70" s="67">
        <v>43174</v>
      </c>
      <c r="U70" s="96" t="s">
        <v>344</v>
      </c>
      <c r="V70" s="96" t="s">
        <v>126</v>
      </c>
      <c r="W70" s="92">
        <v>1</v>
      </c>
      <c r="X70" s="38"/>
      <c r="Y70" s="38"/>
    </row>
    <row r="71" spans="1:25" ht="30" customHeight="1" x14ac:dyDescent="0.15">
      <c r="A71" s="90"/>
      <c r="B71" s="91"/>
      <c r="C71" s="93"/>
      <c r="D71" s="87" t="s">
        <v>110</v>
      </c>
      <c r="E71" s="52" t="s">
        <v>55</v>
      </c>
      <c r="F71" s="95"/>
      <c r="G71" s="41">
        <v>43024</v>
      </c>
      <c r="H71" s="41">
        <v>43031</v>
      </c>
      <c r="I71" s="41">
        <v>43038</v>
      </c>
      <c r="J71" s="66">
        <v>43049</v>
      </c>
      <c r="K71" s="41">
        <v>43028</v>
      </c>
      <c r="L71" s="41">
        <v>43052</v>
      </c>
      <c r="M71" s="39" t="str">
        <f t="shared" ref="M71:T71" ca="1" si="6">IF(M70="","注意",IF(M70=TODAY(),"预警",IF(M70&lt;TODAY(),"延期","")))</f>
        <v>注意</v>
      </c>
      <c r="N71" s="39" t="str">
        <f t="shared" ca="1" si="6"/>
        <v>注意</v>
      </c>
      <c r="O71" s="39" t="str">
        <f t="shared" ca="1" si="6"/>
        <v/>
      </c>
      <c r="P71" s="39" t="str">
        <f t="shared" ca="1" si="6"/>
        <v/>
      </c>
      <c r="Q71" s="39" t="str">
        <f t="shared" ca="1" si="6"/>
        <v/>
      </c>
      <c r="R71" s="39" t="str">
        <f t="shared" ca="1" si="6"/>
        <v/>
      </c>
      <c r="S71" s="39" t="str">
        <f t="shared" ca="1" si="6"/>
        <v/>
      </c>
      <c r="T71" s="39" t="str">
        <f t="shared" ca="1" si="6"/>
        <v/>
      </c>
      <c r="U71" s="97"/>
      <c r="V71" s="97"/>
      <c r="W71" s="93"/>
      <c r="X71" s="38"/>
      <c r="Y71" s="38"/>
    </row>
    <row r="72" spans="1:25" ht="30" customHeight="1" x14ac:dyDescent="0.15">
      <c r="A72" s="89">
        <v>36</v>
      </c>
      <c r="B72" s="91" t="s">
        <v>367</v>
      </c>
      <c r="C72" s="92" t="s">
        <v>121</v>
      </c>
      <c r="D72" s="48" t="s">
        <v>103</v>
      </c>
      <c r="E72" s="52" t="s">
        <v>56</v>
      </c>
      <c r="F72" s="94">
        <v>43008</v>
      </c>
      <c r="G72" s="41">
        <v>43026</v>
      </c>
      <c r="H72" s="41">
        <v>43032</v>
      </c>
      <c r="I72" s="41">
        <v>43040</v>
      </c>
      <c r="J72" s="41">
        <v>43045</v>
      </c>
      <c r="K72" s="41">
        <v>43024</v>
      </c>
      <c r="L72" s="42">
        <v>43039</v>
      </c>
      <c r="M72" s="42"/>
      <c r="N72" s="42"/>
      <c r="O72" s="41">
        <v>43054</v>
      </c>
      <c r="P72" s="42">
        <v>43061</v>
      </c>
      <c r="Q72" s="42">
        <v>43082</v>
      </c>
      <c r="R72" s="42">
        <v>43097</v>
      </c>
      <c r="S72" s="42">
        <v>43110</v>
      </c>
      <c r="T72" s="42">
        <v>43158</v>
      </c>
      <c r="U72" s="96" t="s">
        <v>345</v>
      </c>
      <c r="V72" s="96" t="s">
        <v>115</v>
      </c>
      <c r="W72" s="92">
        <v>1</v>
      </c>
      <c r="X72" s="38"/>
      <c r="Y72" s="38"/>
    </row>
    <row r="73" spans="1:25" ht="30" customHeight="1" x14ac:dyDescent="0.15">
      <c r="A73" s="90"/>
      <c r="B73" s="91"/>
      <c r="C73" s="93"/>
      <c r="D73" s="48" t="s">
        <v>103</v>
      </c>
      <c r="E73" s="52" t="s">
        <v>56</v>
      </c>
      <c r="F73" s="95"/>
      <c r="G73" s="41">
        <v>43026</v>
      </c>
      <c r="H73" s="41">
        <v>43032</v>
      </c>
      <c r="I73" s="41">
        <v>43038</v>
      </c>
      <c r="J73" s="41">
        <v>43043</v>
      </c>
      <c r="K73" s="41">
        <v>43032</v>
      </c>
      <c r="L73" s="39" t="str">
        <f ca="1">IF(L72="","注意",IF(L72=TODAY(),"预警",IF(L72&lt;TODAY(),"延期","")))</f>
        <v>延期</v>
      </c>
      <c r="M73" s="39" t="str">
        <f ca="1">IF(M72="","注意",IF(M72=TODAY(),"预警",IF(M72&lt;TODAY(),"延期","")))</f>
        <v>注意</v>
      </c>
      <c r="N73" s="39" t="str">
        <f ca="1">IF(N72="","注意",IF(N72=TODAY(),"预警",IF(N72&lt;TODAY(),"延期","")))</f>
        <v>注意</v>
      </c>
      <c r="O73" s="41">
        <v>43054</v>
      </c>
      <c r="P73" s="39" t="str">
        <f ca="1">IF(P72="","注意",IF(P72=TODAY(),"预警",IF(P72&lt;TODAY(),"延期","")))</f>
        <v>延期</v>
      </c>
      <c r="Q73" s="39" t="str">
        <f ca="1">IF(Q72="","注意",IF(Q72=TODAY(),"预警",IF(Q72&lt;TODAY(),"延期","")))</f>
        <v/>
      </c>
      <c r="R73" s="39" t="str">
        <f ca="1">IF(R72="","注意",IF(R72=TODAY(),"预警",IF(R72&lt;TODAY(),"延期","")))</f>
        <v/>
      </c>
      <c r="S73" s="39" t="str">
        <f ca="1">IF(S72="","注意",IF(S72=TODAY(),"预警",IF(S72&lt;TODAY(),"延期","")))</f>
        <v/>
      </c>
      <c r="T73" s="39" t="str">
        <f ca="1">IF(T72="","注意",IF(T72=TODAY(),"预警",IF(T72&lt;TODAY(),"延期","")))</f>
        <v/>
      </c>
      <c r="U73" s="97"/>
      <c r="V73" s="97"/>
      <c r="W73" s="93"/>
      <c r="X73" s="38"/>
      <c r="Y73" s="38"/>
    </row>
    <row r="74" spans="1:25" ht="30" customHeight="1" x14ac:dyDescent="0.15">
      <c r="A74" s="89">
        <v>37</v>
      </c>
      <c r="B74" s="91" t="s">
        <v>368</v>
      </c>
      <c r="C74" s="92" t="s">
        <v>121</v>
      </c>
      <c r="D74" s="62" t="s">
        <v>148</v>
      </c>
      <c r="E74" s="52" t="s">
        <v>56</v>
      </c>
      <c r="F74" s="94">
        <v>43018</v>
      </c>
      <c r="G74" s="41">
        <v>43026</v>
      </c>
      <c r="H74" s="41">
        <v>43033</v>
      </c>
      <c r="I74" s="41">
        <v>43040</v>
      </c>
      <c r="J74" s="41">
        <v>43046</v>
      </c>
      <c r="K74" s="41">
        <v>43032</v>
      </c>
      <c r="L74" s="42">
        <v>43047</v>
      </c>
      <c r="M74" s="42"/>
      <c r="N74" s="42"/>
      <c r="O74" s="41">
        <v>43068</v>
      </c>
      <c r="P74" s="42">
        <v>43063</v>
      </c>
      <c r="Q74" s="42">
        <v>43089</v>
      </c>
      <c r="R74" s="42">
        <v>43105</v>
      </c>
      <c r="S74" s="42">
        <v>43111</v>
      </c>
      <c r="T74" s="42">
        <v>43159</v>
      </c>
      <c r="U74" s="96" t="s">
        <v>361</v>
      </c>
      <c r="V74" s="96" t="s">
        <v>162</v>
      </c>
      <c r="W74" s="92">
        <v>1</v>
      </c>
      <c r="X74" s="38"/>
      <c r="Y74" s="38"/>
    </row>
    <row r="75" spans="1:25" ht="24" customHeight="1" x14ac:dyDescent="0.15">
      <c r="A75" s="90"/>
      <c r="B75" s="91"/>
      <c r="C75" s="93"/>
      <c r="D75" s="62" t="s">
        <v>148</v>
      </c>
      <c r="E75" s="52" t="s">
        <v>56</v>
      </c>
      <c r="F75" s="95"/>
      <c r="G75" s="41">
        <v>43026</v>
      </c>
      <c r="H75" s="41">
        <v>43033</v>
      </c>
      <c r="I75" s="41">
        <v>43040</v>
      </c>
      <c r="J75" s="41">
        <v>43046</v>
      </c>
      <c r="K75" s="41">
        <v>43033</v>
      </c>
      <c r="L75" s="39" t="str">
        <f ca="1">IF(L74="","注意",IF(L74=TODAY(),"预警",IF(L74&lt;TODAY(),"延期","")))</f>
        <v>延期</v>
      </c>
      <c r="M75" s="39" t="str">
        <f ca="1">IF(M74="","注意",IF(M74=TODAY(),"预警",IF(M74&lt;TODAY(),"延期","")))</f>
        <v>注意</v>
      </c>
      <c r="N75" s="39" t="str">
        <f ca="1">IF(N74="","注意",IF(N74=TODAY(),"预警",IF(N74&lt;TODAY(),"延期","")))</f>
        <v>注意</v>
      </c>
      <c r="O75" s="41">
        <v>43052</v>
      </c>
      <c r="P75" s="39" t="str">
        <f ca="1">IF(P74="","注意",IF(P74=TODAY(),"预警",IF(P74&lt;TODAY(),"延期","")))</f>
        <v/>
      </c>
      <c r="Q75" s="39" t="str">
        <f ca="1">IF(Q74="","注意",IF(Q74=TODAY(),"预警",IF(Q74&lt;TODAY(),"延期","")))</f>
        <v/>
      </c>
      <c r="R75" s="39" t="str">
        <f ca="1">IF(R74="","注意",IF(R74=TODAY(),"预警",IF(R74&lt;TODAY(),"延期","")))</f>
        <v/>
      </c>
      <c r="S75" s="39" t="str">
        <f ca="1">IF(S74="","注意",IF(S74=TODAY(),"预警",IF(S74&lt;TODAY(),"延期","")))</f>
        <v/>
      </c>
      <c r="T75" s="39" t="str">
        <f ca="1">IF(T74="","注意",IF(T74=TODAY(),"预警",IF(T74&lt;TODAY(),"延期","")))</f>
        <v/>
      </c>
      <c r="U75" s="97"/>
      <c r="V75" s="97"/>
      <c r="W75" s="93"/>
      <c r="X75" s="38"/>
      <c r="Y75" s="38"/>
    </row>
    <row r="76" spans="1:25" ht="30" customHeight="1" x14ac:dyDescent="0.15">
      <c r="A76" s="89">
        <v>38</v>
      </c>
      <c r="B76" s="91" t="s">
        <v>163</v>
      </c>
      <c r="C76" s="92" t="s">
        <v>121</v>
      </c>
      <c r="D76" s="87" t="s">
        <v>110</v>
      </c>
      <c r="E76" s="52" t="s">
        <v>55</v>
      </c>
      <c r="F76" s="94">
        <v>43017</v>
      </c>
      <c r="G76" s="41">
        <v>43028</v>
      </c>
      <c r="H76" s="41">
        <v>43035</v>
      </c>
      <c r="I76" s="41">
        <v>43045</v>
      </c>
      <c r="J76" s="41">
        <v>43056</v>
      </c>
      <c r="K76" s="41">
        <v>43035</v>
      </c>
      <c r="L76" s="42">
        <v>43052</v>
      </c>
      <c r="M76" s="42"/>
      <c r="N76" s="42"/>
      <c r="O76" s="67">
        <v>43123</v>
      </c>
      <c r="P76" s="67">
        <v>43079</v>
      </c>
      <c r="Q76" s="67" t="s">
        <v>329</v>
      </c>
      <c r="R76" s="67">
        <v>43174</v>
      </c>
      <c r="S76" s="67">
        <v>43179</v>
      </c>
      <c r="T76" s="67">
        <v>43215</v>
      </c>
      <c r="U76" s="96" t="s">
        <v>346</v>
      </c>
      <c r="V76" s="96" t="s">
        <v>164</v>
      </c>
      <c r="W76" s="92">
        <v>1</v>
      </c>
      <c r="X76" s="38"/>
      <c r="Y76" s="38"/>
    </row>
    <row r="77" spans="1:25" ht="30" customHeight="1" x14ac:dyDescent="0.15">
      <c r="A77" s="90"/>
      <c r="B77" s="91"/>
      <c r="C77" s="93"/>
      <c r="D77" s="87" t="s">
        <v>110</v>
      </c>
      <c r="E77" s="52" t="s">
        <v>55</v>
      </c>
      <c r="F77" s="95"/>
      <c r="G77" s="41">
        <v>43031</v>
      </c>
      <c r="H77" s="41">
        <v>43040</v>
      </c>
      <c r="I77" s="41">
        <v>43045</v>
      </c>
      <c r="J77" s="41">
        <v>43056</v>
      </c>
      <c r="K77" s="41">
        <v>43038</v>
      </c>
      <c r="L77" s="39" t="str">
        <f t="shared" ref="L77:T77" ca="1" si="7">IF(L76="","注意",IF(L76=TODAY(),"预警",IF(L76&lt;TODAY(),"延期","")))</f>
        <v>延期</v>
      </c>
      <c r="M77" s="39" t="str">
        <f t="shared" ca="1" si="7"/>
        <v>注意</v>
      </c>
      <c r="N77" s="39" t="str">
        <f t="shared" ca="1" si="7"/>
        <v>注意</v>
      </c>
      <c r="O77" s="39" t="str">
        <f t="shared" ca="1" si="7"/>
        <v/>
      </c>
      <c r="P77" s="39" t="str">
        <f t="shared" ca="1" si="7"/>
        <v/>
      </c>
      <c r="Q77" s="39" t="str">
        <f t="shared" ca="1" si="7"/>
        <v/>
      </c>
      <c r="R77" s="39" t="str">
        <f t="shared" ca="1" si="7"/>
        <v/>
      </c>
      <c r="S77" s="39" t="str">
        <f t="shared" ca="1" si="7"/>
        <v/>
      </c>
      <c r="T77" s="39" t="str">
        <f t="shared" ca="1" si="7"/>
        <v/>
      </c>
      <c r="U77" s="97"/>
      <c r="V77" s="97"/>
      <c r="W77" s="93"/>
      <c r="X77" s="38"/>
      <c r="Y77" s="38"/>
    </row>
    <row r="78" spans="1:25" ht="30" customHeight="1" x14ac:dyDescent="0.15">
      <c r="A78" s="89">
        <v>39</v>
      </c>
      <c r="B78" s="91" t="s">
        <v>176</v>
      </c>
      <c r="C78" s="92" t="s">
        <v>121</v>
      </c>
      <c r="D78" s="87" t="s">
        <v>110</v>
      </c>
      <c r="E78" s="52" t="s">
        <v>55</v>
      </c>
      <c r="F78" s="94">
        <v>43026</v>
      </c>
      <c r="G78" s="41">
        <v>43039</v>
      </c>
      <c r="H78" s="41">
        <v>43041</v>
      </c>
      <c r="I78" s="41">
        <v>43048</v>
      </c>
      <c r="J78" s="41">
        <v>43054</v>
      </c>
      <c r="K78" s="41">
        <v>43040</v>
      </c>
      <c r="L78" s="42">
        <v>43055</v>
      </c>
      <c r="M78" s="42"/>
      <c r="N78" s="42"/>
      <c r="O78" s="42">
        <v>43111</v>
      </c>
      <c r="P78" s="42">
        <v>43118</v>
      </c>
      <c r="Q78" s="42">
        <v>43138</v>
      </c>
      <c r="R78" s="42">
        <v>43165</v>
      </c>
      <c r="S78" s="42">
        <v>43167</v>
      </c>
      <c r="T78" s="42">
        <v>43206</v>
      </c>
      <c r="U78" s="96" t="s">
        <v>347</v>
      </c>
      <c r="V78" s="96" t="s">
        <v>165</v>
      </c>
      <c r="W78" s="92">
        <v>1</v>
      </c>
      <c r="X78" s="38"/>
      <c r="Y78" s="38"/>
    </row>
    <row r="79" spans="1:25" ht="30" customHeight="1" x14ac:dyDescent="0.15">
      <c r="A79" s="90"/>
      <c r="B79" s="91"/>
      <c r="C79" s="93"/>
      <c r="D79" s="87" t="s">
        <v>110</v>
      </c>
      <c r="E79" s="52" t="s">
        <v>55</v>
      </c>
      <c r="F79" s="95"/>
      <c r="G79" s="41">
        <v>43038</v>
      </c>
      <c r="H79" s="41">
        <v>43040</v>
      </c>
      <c r="I79" s="41">
        <v>43047</v>
      </c>
      <c r="J79" s="41">
        <v>43052</v>
      </c>
      <c r="K79" s="41">
        <v>43042</v>
      </c>
      <c r="L79" s="39" t="str">
        <f t="shared" ref="L79:T79" ca="1" si="8">IF(L78="","注意",IF(L78=TODAY(),"预警",IF(L78&lt;TODAY(),"延期","")))</f>
        <v>延期</v>
      </c>
      <c r="M79" s="39" t="str">
        <f t="shared" ca="1" si="8"/>
        <v>注意</v>
      </c>
      <c r="N79" s="39" t="str">
        <f t="shared" ca="1" si="8"/>
        <v>注意</v>
      </c>
      <c r="O79" s="39" t="str">
        <f t="shared" ca="1" si="8"/>
        <v/>
      </c>
      <c r="P79" s="39" t="str">
        <f t="shared" ca="1" si="8"/>
        <v/>
      </c>
      <c r="Q79" s="39" t="str">
        <f t="shared" ca="1" si="8"/>
        <v/>
      </c>
      <c r="R79" s="39" t="str">
        <f t="shared" ca="1" si="8"/>
        <v/>
      </c>
      <c r="S79" s="39" t="str">
        <f t="shared" ca="1" si="8"/>
        <v/>
      </c>
      <c r="T79" s="39" t="str">
        <f t="shared" ca="1" si="8"/>
        <v/>
      </c>
      <c r="U79" s="97"/>
      <c r="V79" s="97"/>
      <c r="W79" s="93"/>
      <c r="X79" s="38"/>
      <c r="Y79" s="38"/>
    </row>
    <row r="80" spans="1:25" ht="30" customHeight="1" x14ac:dyDescent="0.15">
      <c r="A80" s="89">
        <v>40</v>
      </c>
      <c r="B80" s="91" t="s">
        <v>365</v>
      </c>
      <c r="C80" s="92" t="s">
        <v>121</v>
      </c>
      <c r="D80" s="49" t="s">
        <v>103</v>
      </c>
      <c r="E80" s="52" t="s">
        <v>56</v>
      </c>
      <c r="F80" s="94">
        <v>43035</v>
      </c>
      <c r="G80" s="41">
        <v>43039</v>
      </c>
      <c r="H80" s="41">
        <v>43041</v>
      </c>
      <c r="I80" s="41">
        <v>43047</v>
      </c>
      <c r="J80" s="41">
        <v>43053</v>
      </c>
      <c r="K80" s="41">
        <v>43040</v>
      </c>
      <c r="L80" s="42">
        <v>43056</v>
      </c>
      <c r="M80" s="42"/>
      <c r="N80" s="42"/>
      <c r="O80" s="88">
        <v>43059</v>
      </c>
      <c r="P80" s="42">
        <v>43062</v>
      </c>
      <c r="Q80" s="42">
        <v>43077</v>
      </c>
      <c r="R80" s="42">
        <v>43091</v>
      </c>
      <c r="S80" s="42">
        <v>43091</v>
      </c>
      <c r="T80" s="41" t="s">
        <v>104</v>
      </c>
      <c r="U80" s="96" t="s">
        <v>339</v>
      </c>
      <c r="V80" s="96" t="s">
        <v>166</v>
      </c>
      <c r="W80" s="92">
        <v>1</v>
      </c>
      <c r="X80" s="38"/>
      <c r="Y80" s="38"/>
    </row>
    <row r="81" spans="1:25" ht="30" customHeight="1" x14ac:dyDescent="0.15">
      <c r="A81" s="90"/>
      <c r="B81" s="91"/>
      <c r="C81" s="93"/>
      <c r="D81" s="49" t="s">
        <v>103</v>
      </c>
      <c r="E81" s="52" t="s">
        <v>56</v>
      </c>
      <c r="F81" s="95"/>
      <c r="G81" s="41">
        <v>43039</v>
      </c>
      <c r="H81" s="41">
        <v>43041</v>
      </c>
      <c r="I81" s="41">
        <v>43045</v>
      </c>
      <c r="J81" s="41">
        <v>43049</v>
      </c>
      <c r="K81" s="41">
        <v>43042</v>
      </c>
      <c r="L81" s="39" t="str">
        <f t="shared" ref="L81:S81" ca="1" si="9">IF(L80="","注意",IF(L80=TODAY(),"预警",IF(L80&lt;TODAY(),"延期","")))</f>
        <v>延期</v>
      </c>
      <c r="M81" s="39" t="str">
        <f t="shared" ca="1" si="9"/>
        <v>注意</v>
      </c>
      <c r="N81" s="39" t="str">
        <f t="shared" ca="1" si="9"/>
        <v>注意</v>
      </c>
      <c r="O81" s="88">
        <v>43059</v>
      </c>
      <c r="P81" s="39" t="str">
        <f t="shared" ca="1" si="9"/>
        <v>预警</v>
      </c>
      <c r="Q81" s="39" t="str">
        <f t="shared" ca="1" si="9"/>
        <v/>
      </c>
      <c r="R81" s="39" t="str">
        <f t="shared" ca="1" si="9"/>
        <v/>
      </c>
      <c r="S81" s="39" t="str">
        <f t="shared" ca="1" si="9"/>
        <v/>
      </c>
      <c r="T81" s="41" t="s">
        <v>104</v>
      </c>
      <c r="U81" s="97"/>
      <c r="V81" s="97"/>
      <c r="W81" s="93"/>
      <c r="X81" s="38"/>
      <c r="Y81" s="38"/>
    </row>
    <row r="82" spans="1:25" ht="30" customHeight="1" x14ac:dyDescent="0.15">
      <c r="A82" s="89">
        <v>41</v>
      </c>
      <c r="B82" s="91" t="s">
        <v>366</v>
      </c>
      <c r="C82" s="92" t="s">
        <v>121</v>
      </c>
      <c r="D82" s="87" t="s">
        <v>110</v>
      </c>
      <c r="E82" s="52" t="s">
        <v>55</v>
      </c>
      <c r="F82" s="94">
        <v>43035</v>
      </c>
      <c r="G82" s="41">
        <v>43038</v>
      </c>
      <c r="H82" s="41">
        <v>43045</v>
      </c>
      <c r="I82" s="41">
        <v>43049</v>
      </c>
      <c r="J82" s="41">
        <v>43055</v>
      </c>
      <c r="K82" s="41">
        <v>43045</v>
      </c>
      <c r="L82" s="42">
        <v>43060</v>
      </c>
      <c r="M82" s="42"/>
      <c r="N82" s="42"/>
      <c r="O82" s="42">
        <v>43063</v>
      </c>
      <c r="P82" s="42">
        <v>43067</v>
      </c>
      <c r="Q82" s="42">
        <v>43077</v>
      </c>
      <c r="R82" s="42">
        <v>43091</v>
      </c>
      <c r="S82" s="42">
        <v>43091</v>
      </c>
      <c r="T82" s="41" t="s">
        <v>104</v>
      </c>
      <c r="U82" s="96" t="s">
        <v>348</v>
      </c>
      <c r="V82" s="96" t="s">
        <v>167</v>
      </c>
      <c r="W82" s="92">
        <v>1</v>
      </c>
      <c r="X82" s="38"/>
      <c r="Y82" s="38"/>
    </row>
    <row r="83" spans="1:25" ht="30" customHeight="1" x14ac:dyDescent="0.15">
      <c r="A83" s="90"/>
      <c r="B83" s="91"/>
      <c r="C83" s="93"/>
      <c r="D83" s="87" t="s">
        <v>110</v>
      </c>
      <c r="E83" s="52" t="s">
        <v>55</v>
      </c>
      <c r="F83" s="95"/>
      <c r="G83" s="41">
        <v>43039</v>
      </c>
      <c r="H83" s="41">
        <v>43045</v>
      </c>
      <c r="I83" s="41">
        <v>43049</v>
      </c>
      <c r="J83" s="41">
        <v>43054</v>
      </c>
      <c r="K83" s="41">
        <v>43046</v>
      </c>
      <c r="L83" s="39" t="str">
        <f t="shared" ref="L83:S83" ca="1" si="10">IF(L82="","注意",IF(L82=TODAY(),"预警",IF(L82&lt;TODAY(),"延期","")))</f>
        <v>延期</v>
      </c>
      <c r="M83" s="39" t="str">
        <f t="shared" ca="1" si="10"/>
        <v>注意</v>
      </c>
      <c r="N83" s="39" t="str">
        <f t="shared" ca="1" si="10"/>
        <v>注意</v>
      </c>
      <c r="O83" s="39" t="str">
        <f t="shared" ca="1" si="10"/>
        <v/>
      </c>
      <c r="P83" s="39" t="str">
        <f t="shared" ca="1" si="10"/>
        <v/>
      </c>
      <c r="Q83" s="39" t="str">
        <f ca="1">IF(Q82="","注意",IF(Q82=TODAY(),"预警",IF(Q82&lt;TODAY(),"延期","")))</f>
        <v/>
      </c>
      <c r="R83" s="39" t="str">
        <f t="shared" ca="1" si="10"/>
        <v/>
      </c>
      <c r="S83" s="39" t="str">
        <f t="shared" ca="1" si="10"/>
        <v/>
      </c>
      <c r="T83" s="41" t="s">
        <v>104</v>
      </c>
      <c r="U83" s="97"/>
      <c r="V83" s="97"/>
      <c r="W83" s="93"/>
      <c r="X83" s="38"/>
      <c r="Y83" s="38"/>
    </row>
    <row r="84" spans="1:25" ht="30" customHeight="1" x14ac:dyDescent="0.15">
      <c r="A84" s="98">
        <v>42</v>
      </c>
      <c r="B84" s="91" t="s">
        <v>186</v>
      </c>
      <c r="C84" s="92" t="s">
        <v>102</v>
      </c>
      <c r="D84" s="49" t="s">
        <v>103</v>
      </c>
      <c r="E84" s="52" t="s">
        <v>53</v>
      </c>
      <c r="F84" s="94">
        <v>43047</v>
      </c>
      <c r="G84" s="41">
        <v>43061</v>
      </c>
      <c r="H84" s="42">
        <v>43073</v>
      </c>
      <c r="I84" s="42">
        <v>43083</v>
      </c>
      <c r="J84" s="42">
        <v>43089</v>
      </c>
      <c r="K84" s="42">
        <v>43073</v>
      </c>
      <c r="L84" s="42">
        <v>43091</v>
      </c>
      <c r="M84" s="42"/>
      <c r="N84" s="42"/>
      <c r="O84" s="42">
        <v>43096</v>
      </c>
      <c r="P84" s="42">
        <v>43098</v>
      </c>
      <c r="Q84" s="42">
        <v>43110</v>
      </c>
      <c r="R84" s="42">
        <v>43126</v>
      </c>
      <c r="S84" s="42">
        <v>43129</v>
      </c>
      <c r="T84" s="42">
        <v>43178</v>
      </c>
      <c r="U84" s="102" t="s">
        <v>370</v>
      </c>
      <c r="V84" s="96" t="s">
        <v>179</v>
      </c>
      <c r="W84" s="92">
        <v>1</v>
      </c>
      <c r="X84" s="38"/>
      <c r="Y84" s="38"/>
    </row>
    <row r="85" spans="1:25" ht="30" customHeight="1" x14ac:dyDescent="0.15">
      <c r="A85" s="99"/>
      <c r="B85" s="91"/>
      <c r="C85" s="104"/>
      <c r="D85" s="50" t="s">
        <v>103</v>
      </c>
      <c r="E85" s="52" t="s">
        <v>53</v>
      </c>
      <c r="F85" s="95"/>
      <c r="G85" s="41">
        <v>43061</v>
      </c>
      <c r="H85" s="39" t="str">
        <f t="shared" ref="G85:T87" ca="1" si="11">IF(H84="","注意",IF(H84=TODAY(),"预警",IF(H84&lt;TODAY(),"延期","")))</f>
        <v/>
      </c>
      <c r="I85" s="39" t="str">
        <f t="shared" ca="1" si="11"/>
        <v/>
      </c>
      <c r="J85" s="39" t="str">
        <f t="shared" ca="1" si="11"/>
        <v/>
      </c>
      <c r="K85" s="39" t="str">
        <f t="shared" ca="1" si="11"/>
        <v/>
      </c>
      <c r="L85" s="39" t="str">
        <f t="shared" ca="1" si="11"/>
        <v/>
      </c>
      <c r="M85" s="39" t="str">
        <f t="shared" ca="1" si="11"/>
        <v>注意</v>
      </c>
      <c r="N85" s="39" t="str">
        <f t="shared" ca="1" si="11"/>
        <v>注意</v>
      </c>
      <c r="O85" s="39" t="str">
        <f t="shared" ca="1" si="11"/>
        <v/>
      </c>
      <c r="P85" s="39" t="str">
        <f t="shared" ca="1" si="11"/>
        <v/>
      </c>
      <c r="Q85" s="39" t="str">
        <f t="shared" ca="1" si="11"/>
        <v/>
      </c>
      <c r="R85" s="39" t="str">
        <f t="shared" ca="1" si="11"/>
        <v/>
      </c>
      <c r="S85" s="39" t="str">
        <f t="shared" ca="1" si="11"/>
        <v/>
      </c>
      <c r="T85" s="39" t="str">
        <f t="shared" ca="1" si="11"/>
        <v/>
      </c>
      <c r="U85" s="103"/>
      <c r="V85" s="97"/>
      <c r="W85" s="93"/>
      <c r="X85" s="38"/>
      <c r="Y85" s="38"/>
    </row>
    <row r="86" spans="1:25" ht="30" customHeight="1" x14ac:dyDescent="0.15">
      <c r="A86" s="98">
        <v>43</v>
      </c>
      <c r="B86" s="100" t="s">
        <v>325</v>
      </c>
      <c r="C86" s="92" t="s">
        <v>121</v>
      </c>
      <c r="D86" s="50" t="s">
        <v>103</v>
      </c>
      <c r="E86" s="52" t="s">
        <v>53</v>
      </c>
      <c r="F86" s="94">
        <v>43047</v>
      </c>
      <c r="G86" s="41">
        <v>43061</v>
      </c>
      <c r="H86" s="42">
        <v>43073</v>
      </c>
      <c r="I86" s="42">
        <v>43083</v>
      </c>
      <c r="J86" s="42">
        <v>43089</v>
      </c>
      <c r="K86" s="42">
        <v>43073</v>
      </c>
      <c r="L86" s="42">
        <v>43091</v>
      </c>
      <c r="M86" s="42"/>
      <c r="N86" s="42"/>
      <c r="O86" s="42">
        <v>43096</v>
      </c>
      <c r="P86" s="42">
        <v>43098</v>
      </c>
      <c r="Q86" s="42">
        <v>43110</v>
      </c>
      <c r="R86" s="42">
        <v>43126</v>
      </c>
      <c r="S86" s="42">
        <v>43129</v>
      </c>
      <c r="T86" s="42">
        <v>43178</v>
      </c>
      <c r="U86" s="102" t="s">
        <v>370</v>
      </c>
      <c r="V86" s="96" t="s">
        <v>179</v>
      </c>
      <c r="W86" s="104">
        <v>1</v>
      </c>
      <c r="X86" s="38"/>
      <c r="Y86" s="38"/>
    </row>
    <row r="87" spans="1:25" ht="30" customHeight="1" x14ac:dyDescent="0.15">
      <c r="A87" s="99"/>
      <c r="B87" s="101"/>
      <c r="C87" s="93"/>
      <c r="D87" s="50" t="s">
        <v>103</v>
      </c>
      <c r="E87" s="52" t="s">
        <v>53</v>
      </c>
      <c r="F87" s="95"/>
      <c r="G87" s="41">
        <v>43061</v>
      </c>
      <c r="H87" s="39" t="str">
        <f t="shared" ca="1" si="11"/>
        <v/>
      </c>
      <c r="I87" s="39" t="str">
        <f t="shared" ca="1" si="11"/>
        <v/>
      </c>
      <c r="J87" s="39" t="str">
        <f t="shared" ca="1" si="11"/>
        <v/>
      </c>
      <c r="K87" s="39" t="str">
        <f t="shared" ca="1" si="11"/>
        <v/>
      </c>
      <c r="L87" s="39" t="str">
        <f t="shared" ca="1" si="11"/>
        <v/>
      </c>
      <c r="M87" s="39" t="str">
        <f t="shared" ca="1" si="11"/>
        <v>注意</v>
      </c>
      <c r="N87" s="39" t="str">
        <f t="shared" ca="1" si="11"/>
        <v>注意</v>
      </c>
      <c r="O87" s="39" t="str">
        <f t="shared" ca="1" si="11"/>
        <v/>
      </c>
      <c r="P87" s="39" t="str">
        <f t="shared" ca="1" si="11"/>
        <v/>
      </c>
      <c r="Q87" s="39" t="str">
        <f t="shared" ca="1" si="11"/>
        <v/>
      </c>
      <c r="R87" s="39" t="str">
        <f t="shared" ca="1" si="11"/>
        <v/>
      </c>
      <c r="S87" s="39" t="str">
        <f t="shared" ca="1" si="11"/>
        <v/>
      </c>
      <c r="T87" s="39" t="str">
        <f t="shared" ca="1" si="11"/>
        <v/>
      </c>
      <c r="U87" s="103"/>
      <c r="V87" s="97"/>
      <c r="W87" s="93"/>
      <c r="X87" s="38"/>
      <c r="Y87" s="38"/>
    </row>
    <row r="88" spans="1:25" ht="30" customHeight="1" x14ac:dyDescent="0.15">
      <c r="A88" s="89">
        <v>44</v>
      </c>
      <c r="B88" s="91" t="s">
        <v>180</v>
      </c>
      <c r="C88" s="92" t="s">
        <v>102</v>
      </c>
      <c r="D88" s="61" t="s">
        <v>148</v>
      </c>
      <c r="E88" s="53" t="s">
        <v>56</v>
      </c>
      <c r="F88" s="94">
        <v>43047</v>
      </c>
      <c r="G88" s="41" t="s">
        <v>104</v>
      </c>
      <c r="H88" s="41" t="s">
        <v>104</v>
      </c>
      <c r="I88" s="41" t="s">
        <v>104</v>
      </c>
      <c r="J88" s="41" t="s">
        <v>104</v>
      </c>
      <c r="K88" s="41" t="s">
        <v>104</v>
      </c>
      <c r="L88" s="41" t="s">
        <v>104</v>
      </c>
      <c r="M88" s="41" t="s">
        <v>104</v>
      </c>
      <c r="N88" s="41" t="s">
        <v>104</v>
      </c>
      <c r="O88" s="41">
        <v>43055</v>
      </c>
      <c r="P88" s="41" t="s">
        <v>104</v>
      </c>
      <c r="Q88" s="42">
        <v>43062</v>
      </c>
      <c r="R88" s="41" t="s">
        <v>104</v>
      </c>
      <c r="S88" s="41">
        <v>43048</v>
      </c>
      <c r="T88" s="41" t="s">
        <v>104</v>
      </c>
      <c r="U88" s="96" t="s">
        <v>349</v>
      </c>
      <c r="V88" s="96" t="s">
        <v>134</v>
      </c>
      <c r="W88" s="92">
        <v>1</v>
      </c>
      <c r="X88" s="38"/>
      <c r="Y88" s="38"/>
    </row>
    <row r="89" spans="1:25" ht="30" customHeight="1" x14ac:dyDescent="0.15">
      <c r="A89" s="90"/>
      <c r="B89" s="91"/>
      <c r="C89" s="93"/>
      <c r="D89" s="61" t="s">
        <v>148</v>
      </c>
      <c r="E89" s="53" t="s">
        <v>56</v>
      </c>
      <c r="F89" s="95"/>
      <c r="G89" s="41" t="s">
        <v>104</v>
      </c>
      <c r="H89" s="41" t="s">
        <v>104</v>
      </c>
      <c r="I89" s="41" t="s">
        <v>104</v>
      </c>
      <c r="J89" s="41" t="s">
        <v>104</v>
      </c>
      <c r="K89" s="41" t="s">
        <v>104</v>
      </c>
      <c r="L89" s="41" t="s">
        <v>104</v>
      </c>
      <c r="M89" s="41" t="s">
        <v>104</v>
      </c>
      <c r="N89" s="41" t="s">
        <v>104</v>
      </c>
      <c r="O89" s="41">
        <v>43055</v>
      </c>
      <c r="P89" s="41" t="s">
        <v>104</v>
      </c>
      <c r="Q89" s="39" t="str">
        <f t="shared" ref="Q89" ca="1" si="12">IF(Q88="","注意",IF(Q88=TODAY(),"预警",IF(Q88&lt;TODAY(),"延期","")))</f>
        <v>预警</v>
      </c>
      <c r="R89" s="41" t="s">
        <v>104</v>
      </c>
      <c r="S89" s="41">
        <v>43048</v>
      </c>
      <c r="T89" s="41" t="s">
        <v>104</v>
      </c>
      <c r="U89" s="97"/>
      <c r="V89" s="97"/>
      <c r="W89" s="93"/>
      <c r="X89" s="38"/>
      <c r="Y89" s="38"/>
    </row>
    <row r="90" spans="1:25" ht="30" customHeight="1" x14ac:dyDescent="0.15">
      <c r="A90" s="89">
        <v>45</v>
      </c>
      <c r="B90" s="91" t="s">
        <v>326</v>
      </c>
      <c r="C90" s="92" t="s">
        <v>102</v>
      </c>
      <c r="D90" s="61" t="s">
        <v>103</v>
      </c>
      <c r="E90" s="53" t="s">
        <v>53</v>
      </c>
      <c r="F90" s="94">
        <v>43049</v>
      </c>
      <c r="G90" s="42">
        <v>43068</v>
      </c>
      <c r="H90" s="42">
        <v>43084</v>
      </c>
      <c r="I90" s="42">
        <v>43094</v>
      </c>
      <c r="J90" s="42">
        <v>43098</v>
      </c>
      <c r="K90" s="42">
        <v>43084</v>
      </c>
      <c r="L90" s="42">
        <v>43117</v>
      </c>
      <c r="M90" s="42"/>
      <c r="N90" s="42"/>
      <c r="O90" s="42">
        <v>43140</v>
      </c>
      <c r="P90" s="42">
        <v>43158</v>
      </c>
      <c r="Q90" s="42">
        <v>43179</v>
      </c>
      <c r="R90" s="42">
        <v>43180</v>
      </c>
      <c r="S90" s="42">
        <v>43186</v>
      </c>
      <c r="T90" s="42">
        <v>43227</v>
      </c>
      <c r="U90" s="96" t="s">
        <v>195</v>
      </c>
      <c r="V90" s="96" t="s">
        <v>196</v>
      </c>
      <c r="W90" s="92">
        <v>1</v>
      </c>
      <c r="X90" s="38"/>
      <c r="Y90" s="38"/>
    </row>
    <row r="91" spans="1:25" ht="30" customHeight="1" x14ac:dyDescent="0.15">
      <c r="A91" s="90"/>
      <c r="B91" s="91"/>
      <c r="C91" s="93"/>
      <c r="D91" s="61" t="s">
        <v>103</v>
      </c>
      <c r="E91" s="53" t="s">
        <v>53</v>
      </c>
      <c r="F91" s="95"/>
      <c r="G91" s="39" t="str">
        <f ca="1">IF(G90="","注意",IF(G90=TODAY(),"预警",IF(G90&lt;TODAY(),"延期","")))</f>
        <v/>
      </c>
      <c r="H91" s="39" t="str">
        <f t="shared" ref="H91:T93" ca="1" si="13">IF(H90="","注意",IF(H90=TODAY(),"预警",IF(H90&lt;TODAY(),"延期","")))</f>
        <v/>
      </c>
      <c r="I91" s="39" t="str">
        <f t="shared" ca="1" si="13"/>
        <v/>
      </c>
      <c r="J91" s="39" t="str">
        <f t="shared" ca="1" si="13"/>
        <v/>
      </c>
      <c r="K91" s="39" t="str">
        <f t="shared" ca="1" si="13"/>
        <v/>
      </c>
      <c r="L91" s="39" t="str">
        <f t="shared" ca="1" si="13"/>
        <v/>
      </c>
      <c r="M91" s="39" t="str">
        <f t="shared" ca="1" si="13"/>
        <v>注意</v>
      </c>
      <c r="N91" s="39" t="str">
        <f t="shared" ca="1" si="13"/>
        <v>注意</v>
      </c>
      <c r="O91" s="39" t="str">
        <f t="shared" ca="1" si="13"/>
        <v/>
      </c>
      <c r="P91" s="39" t="str">
        <f t="shared" ca="1" si="13"/>
        <v/>
      </c>
      <c r="Q91" s="39" t="str">
        <f t="shared" ca="1" si="13"/>
        <v/>
      </c>
      <c r="R91" s="39" t="str">
        <f t="shared" ca="1" si="13"/>
        <v/>
      </c>
      <c r="S91" s="39" t="str">
        <f t="shared" ca="1" si="13"/>
        <v/>
      </c>
      <c r="T91" s="39" t="str">
        <f t="shared" ca="1" si="13"/>
        <v/>
      </c>
      <c r="U91" s="97"/>
      <c r="V91" s="97"/>
      <c r="W91" s="93"/>
      <c r="X91" s="38"/>
      <c r="Y91" s="38"/>
    </row>
    <row r="92" spans="1:25" ht="30" customHeight="1" x14ac:dyDescent="0.15">
      <c r="A92" s="89">
        <v>46</v>
      </c>
      <c r="B92" s="91" t="s">
        <v>197</v>
      </c>
      <c r="C92" s="92" t="s">
        <v>102</v>
      </c>
      <c r="D92" s="61" t="s">
        <v>103</v>
      </c>
      <c r="E92" s="53" t="s">
        <v>54</v>
      </c>
      <c r="F92" s="94">
        <v>43049</v>
      </c>
      <c r="G92" s="41">
        <v>43054</v>
      </c>
      <c r="H92" s="41">
        <v>43055</v>
      </c>
      <c r="I92" s="42">
        <v>43061</v>
      </c>
      <c r="J92" s="42">
        <v>43063</v>
      </c>
      <c r="K92" s="41">
        <v>43054</v>
      </c>
      <c r="L92" s="42">
        <v>43069</v>
      </c>
      <c r="M92" s="42"/>
      <c r="N92" s="42"/>
      <c r="O92" s="42">
        <v>43069</v>
      </c>
      <c r="P92" s="42" t="s">
        <v>104</v>
      </c>
      <c r="Q92" s="42">
        <v>43080</v>
      </c>
      <c r="R92" s="42" t="s">
        <v>104</v>
      </c>
      <c r="S92" s="42" t="s">
        <v>104</v>
      </c>
      <c r="T92" s="42" t="s">
        <v>104</v>
      </c>
      <c r="U92" s="96" t="s">
        <v>350</v>
      </c>
      <c r="V92" s="96" t="s">
        <v>198</v>
      </c>
      <c r="W92" s="92">
        <v>1</v>
      </c>
      <c r="X92" s="38"/>
      <c r="Y92" s="38"/>
    </row>
    <row r="93" spans="1:25" ht="30" customHeight="1" x14ac:dyDescent="0.15">
      <c r="A93" s="90"/>
      <c r="B93" s="91"/>
      <c r="C93" s="93"/>
      <c r="D93" s="61" t="s">
        <v>103</v>
      </c>
      <c r="E93" s="53" t="s">
        <v>54</v>
      </c>
      <c r="F93" s="95"/>
      <c r="G93" s="41">
        <v>43052</v>
      </c>
      <c r="H93" s="41">
        <v>43053</v>
      </c>
      <c r="I93" s="39" t="str">
        <f t="shared" ca="1" si="13"/>
        <v>延期</v>
      </c>
      <c r="J93" s="39" t="str">
        <f t="shared" ca="1" si="13"/>
        <v/>
      </c>
      <c r="K93" s="41">
        <v>43054</v>
      </c>
      <c r="L93" s="39" t="str">
        <f t="shared" ca="1" si="13"/>
        <v/>
      </c>
      <c r="M93" s="39" t="str">
        <f t="shared" ca="1" si="13"/>
        <v>注意</v>
      </c>
      <c r="N93" s="39" t="str">
        <f t="shared" ca="1" si="13"/>
        <v>注意</v>
      </c>
      <c r="O93" s="39" t="str">
        <f t="shared" ca="1" si="13"/>
        <v/>
      </c>
      <c r="P93" s="42" t="s">
        <v>104</v>
      </c>
      <c r="Q93" s="39" t="str">
        <f t="shared" ca="1" si="13"/>
        <v/>
      </c>
      <c r="R93" s="42" t="s">
        <v>104</v>
      </c>
      <c r="S93" s="42" t="s">
        <v>104</v>
      </c>
      <c r="T93" s="42" t="s">
        <v>104</v>
      </c>
      <c r="U93" s="97"/>
      <c r="V93" s="97"/>
      <c r="W93" s="93"/>
      <c r="X93" s="38"/>
      <c r="Y93" s="38"/>
    </row>
  </sheetData>
  <autoFilter ref="A1:Y93"/>
  <mergeCells count="321">
    <mergeCell ref="V80:V81"/>
    <mergeCell ref="W80:W81"/>
    <mergeCell ref="A82:A83"/>
    <mergeCell ref="B82:B83"/>
    <mergeCell ref="C82:C83"/>
    <mergeCell ref="F82:F83"/>
    <mergeCell ref="U82:U83"/>
    <mergeCell ref="V82:V83"/>
    <mergeCell ref="W82:W83"/>
    <mergeCell ref="A80:A81"/>
    <mergeCell ref="B80:B81"/>
    <mergeCell ref="C80:C81"/>
    <mergeCell ref="F80:F81"/>
    <mergeCell ref="U80:U81"/>
    <mergeCell ref="V76:V77"/>
    <mergeCell ref="W76:W77"/>
    <mergeCell ref="A78:A79"/>
    <mergeCell ref="B78:B79"/>
    <mergeCell ref="C78:C79"/>
    <mergeCell ref="F78:F79"/>
    <mergeCell ref="U78:U79"/>
    <mergeCell ref="V78:V79"/>
    <mergeCell ref="W78:W79"/>
    <mergeCell ref="A76:A77"/>
    <mergeCell ref="B76:B77"/>
    <mergeCell ref="C76:C77"/>
    <mergeCell ref="F76:F77"/>
    <mergeCell ref="U76:U77"/>
    <mergeCell ref="V72:V73"/>
    <mergeCell ref="W72:W73"/>
    <mergeCell ref="A74:A75"/>
    <mergeCell ref="B74:B75"/>
    <mergeCell ref="C74:C75"/>
    <mergeCell ref="F74:F75"/>
    <mergeCell ref="U74:U75"/>
    <mergeCell ref="V74:V75"/>
    <mergeCell ref="W74:W75"/>
    <mergeCell ref="A72:A73"/>
    <mergeCell ref="B72:B73"/>
    <mergeCell ref="C72:C73"/>
    <mergeCell ref="F72:F73"/>
    <mergeCell ref="U72:U73"/>
    <mergeCell ref="V68:V69"/>
    <mergeCell ref="W68:W69"/>
    <mergeCell ref="A70:A71"/>
    <mergeCell ref="B70:B71"/>
    <mergeCell ref="C70:C71"/>
    <mergeCell ref="F70:F71"/>
    <mergeCell ref="U70:U71"/>
    <mergeCell ref="V70:V71"/>
    <mergeCell ref="W70:W71"/>
    <mergeCell ref="A68:A69"/>
    <mergeCell ref="B68:B69"/>
    <mergeCell ref="C68:C69"/>
    <mergeCell ref="F68:F69"/>
    <mergeCell ref="U68:U69"/>
    <mergeCell ref="V64:V65"/>
    <mergeCell ref="W64:W65"/>
    <mergeCell ref="A66:A67"/>
    <mergeCell ref="B66:B67"/>
    <mergeCell ref="C66:C67"/>
    <mergeCell ref="F66:F67"/>
    <mergeCell ref="U66:U67"/>
    <mergeCell ref="V66:V67"/>
    <mergeCell ref="W66:W67"/>
    <mergeCell ref="A64:A65"/>
    <mergeCell ref="B64:B65"/>
    <mergeCell ref="C64:C65"/>
    <mergeCell ref="F64:F65"/>
    <mergeCell ref="U64:U65"/>
    <mergeCell ref="V60:V61"/>
    <mergeCell ref="W60:W61"/>
    <mergeCell ref="A62:A63"/>
    <mergeCell ref="B62:B63"/>
    <mergeCell ref="C62:C63"/>
    <mergeCell ref="F62:F63"/>
    <mergeCell ref="U62:U63"/>
    <mergeCell ref="V62:V63"/>
    <mergeCell ref="W62:W63"/>
    <mergeCell ref="A60:A61"/>
    <mergeCell ref="B60:B61"/>
    <mergeCell ref="C60:C61"/>
    <mergeCell ref="F60:F61"/>
    <mergeCell ref="U60:U61"/>
    <mergeCell ref="V56:V57"/>
    <mergeCell ref="W56:W57"/>
    <mergeCell ref="A58:A59"/>
    <mergeCell ref="B58:B59"/>
    <mergeCell ref="C58:C59"/>
    <mergeCell ref="F58:F59"/>
    <mergeCell ref="U58:U59"/>
    <mergeCell ref="V58:V59"/>
    <mergeCell ref="W58:W59"/>
    <mergeCell ref="A56:A57"/>
    <mergeCell ref="B56:B57"/>
    <mergeCell ref="C56:C57"/>
    <mergeCell ref="F56:F57"/>
    <mergeCell ref="U56:U57"/>
    <mergeCell ref="V52:V53"/>
    <mergeCell ref="W52:W53"/>
    <mergeCell ref="A54:A55"/>
    <mergeCell ref="B54:B55"/>
    <mergeCell ref="C54:C55"/>
    <mergeCell ref="F54:F55"/>
    <mergeCell ref="U54:U55"/>
    <mergeCell ref="V54:V55"/>
    <mergeCell ref="W54:W55"/>
    <mergeCell ref="A52:A53"/>
    <mergeCell ref="B52:B53"/>
    <mergeCell ref="C52:C53"/>
    <mergeCell ref="F52:F53"/>
    <mergeCell ref="U52:U53"/>
    <mergeCell ref="V48:V49"/>
    <mergeCell ref="W48:W49"/>
    <mergeCell ref="A50:A51"/>
    <mergeCell ref="B50:B51"/>
    <mergeCell ref="C50:C51"/>
    <mergeCell ref="F50:F51"/>
    <mergeCell ref="U50:U51"/>
    <mergeCell ref="V50:V51"/>
    <mergeCell ref="W50:W51"/>
    <mergeCell ref="A48:A49"/>
    <mergeCell ref="B48:B49"/>
    <mergeCell ref="C48:C49"/>
    <mergeCell ref="F48:F49"/>
    <mergeCell ref="U48:U49"/>
    <mergeCell ref="V44:V45"/>
    <mergeCell ref="W44:W45"/>
    <mergeCell ref="A46:A47"/>
    <mergeCell ref="B46:B47"/>
    <mergeCell ref="C46:C47"/>
    <mergeCell ref="F46:F47"/>
    <mergeCell ref="U46:U47"/>
    <mergeCell ref="V46:V47"/>
    <mergeCell ref="W46:W47"/>
    <mergeCell ref="A44:A45"/>
    <mergeCell ref="B44:B45"/>
    <mergeCell ref="C44:C45"/>
    <mergeCell ref="F44:F45"/>
    <mergeCell ref="U44:U45"/>
    <mergeCell ref="V40:V41"/>
    <mergeCell ref="W40:W41"/>
    <mergeCell ref="A42:A43"/>
    <mergeCell ref="B42:B43"/>
    <mergeCell ref="C42:C43"/>
    <mergeCell ref="F42:F43"/>
    <mergeCell ref="U42:U43"/>
    <mergeCell ref="V42:V43"/>
    <mergeCell ref="W42:W43"/>
    <mergeCell ref="A40:A41"/>
    <mergeCell ref="B40:B41"/>
    <mergeCell ref="C40:C41"/>
    <mergeCell ref="F40:F41"/>
    <mergeCell ref="U40:U41"/>
    <mergeCell ref="V36:V37"/>
    <mergeCell ref="W36:W37"/>
    <mergeCell ref="A38:A39"/>
    <mergeCell ref="B38:B39"/>
    <mergeCell ref="C38:C39"/>
    <mergeCell ref="F38:F39"/>
    <mergeCell ref="U38:U39"/>
    <mergeCell ref="V38:V39"/>
    <mergeCell ref="W38:W39"/>
    <mergeCell ref="A36:A37"/>
    <mergeCell ref="B36:B37"/>
    <mergeCell ref="C36:C37"/>
    <mergeCell ref="F36:F37"/>
    <mergeCell ref="U36:U37"/>
    <mergeCell ref="V32:V33"/>
    <mergeCell ref="W32:W33"/>
    <mergeCell ref="A34:A35"/>
    <mergeCell ref="B34:B35"/>
    <mergeCell ref="C34:C35"/>
    <mergeCell ref="F34:F35"/>
    <mergeCell ref="U34:U35"/>
    <mergeCell ref="V34:V35"/>
    <mergeCell ref="W34:W35"/>
    <mergeCell ref="A32:A33"/>
    <mergeCell ref="B32:B33"/>
    <mergeCell ref="C32:C33"/>
    <mergeCell ref="F32:F33"/>
    <mergeCell ref="U32:U33"/>
    <mergeCell ref="V28:V29"/>
    <mergeCell ref="W28:W29"/>
    <mergeCell ref="A30:A31"/>
    <mergeCell ref="B30:B31"/>
    <mergeCell ref="C30:C31"/>
    <mergeCell ref="F30:F31"/>
    <mergeCell ref="U30:U31"/>
    <mergeCell ref="V30:V31"/>
    <mergeCell ref="W30:W31"/>
    <mergeCell ref="A28:A29"/>
    <mergeCell ref="B28:B29"/>
    <mergeCell ref="C28:C29"/>
    <mergeCell ref="F28:F29"/>
    <mergeCell ref="U28:U29"/>
    <mergeCell ref="W24:W25"/>
    <mergeCell ref="A26:A27"/>
    <mergeCell ref="C26:C27"/>
    <mergeCell ref="F26:F27"/>
    <mergeCell ref="U26:U27"/>
    <mergeCell ref="V26:V27"/>
    <mergeCell ref="W26:W27"/>
    <mergeCell ref="A24:A25"/>
    <mergeCell ref="C24:C25"/>
    <mergeCell ref="F24:F25"/>
    <mergeCell ref="U24:U25"/>
    <mergeCell ref="V24:V25"/>
    <mergeCell ref="B24:B25"/>
    <mergeCell ref="B26:B27"/>
    <mergeCell ref="W20:W21"/>
    <mergeCell ref="A22:A23"/>
    <mergeCell ref="C22:C23"/>
    <mergeCell ref="F22:F23"/>
    <mergeCell ref="U22:U23"/>
    <mergeCell ref="V22:V23"/>
    <mergeCell ref="W22:W23"/>
    <mergeCell ref="A20:A21"/>
    <mergeCell ref="C20:C21"/>
    <mergeCell ref="F20:F21"/>
    <mergeCell ref="U20:U21"/>
    <mergeCell ref="V20:V21"/>
    <mergeCell ref="B22:B23"/>
    <mergeCell ref="B20:B21"/>
    <mergeCell ref="W16:W17"/>
    <mergeCell ref="A18:A19"/>
    <mergeCell ref="C18:C19"/>
    <mergeCell ref="F18:F19"/>
    <mergeCell ref="U18:U19"/>
    <mergeCell ref="V18:V19"/>
    <mergeCell ref="W18:W19"/>
    <mergeCell ref="A16:A17"/>
    <mergeCell ref="C16:C17"/>
    <mergeCell ref="F16:F17"/>
    <mergeCell ref="U16:U17"/>
    <mergeCell ref="V16:V17"/>
    <mergeCell ref="B18:B19"/>
    <mergeCell ref="B16:B17"/>
    <mergeCell ref="W12:W13"/>
    <mergeCell ref="A14:A15"/>
    <mergeCell ref="C14:C15"/>
    <mergeCell ref="F14:F15"/>
    <mergeCell ref="U14:U15"/>
    <mergeCell ref="V14:V15"/>
    <mergeCell ref="W14:W15"/>
    <mergeCell ref="A12:A13"/>
    <mergeCell ref="C12:C13"/>
    <mergeCell ref="F12:F13"/>
    <mergeCell ref="U12:U13"/>
    <mergeCell ref="V12:V13"/>
    <mergeCell ref="B12:B13"/>
    <mergeCell ref="B14:B15"/>
    <mergeCell ref="W6:W7"/>
    <mergeCell ref="A8:A9"/>
    <mergeCell ref="C8:C9"/>
    <mergeCell ref="F8:F9"/>
    <mergeCell ref="U8:U11"/>
    <mergeCell ref="V8:V9"/>
    <mergeCell ref="W8:W9"/>
    <mergeCell ref="A10:A11"/>
    <mergeCell ref="C10:C11"/>
    <mergeCell ref="F10:F11"/>
    <mergeCell ref="V10:V11"/>
    <mergeCell ref="W10:W11"/>
    <mergeCell ref="B6:B7"/>
    <mergeCell ref="A6:A7"/>
    <mergeCell ref="C6:C7"/>
    <mergeCell ref="B8:B9"/>
    <mergeCell ref="B10:B11"/>
    <mergeCell ref="A84:A85"/>
    <mergeCell ref="B84:B85"/>
    <mergeCell ref="C84:C85"/>
    <mergeCell ref="F84:F85"/>
    <mergeCell ref="U84:U85"/>
    <mergeCell ref="V84:V85"/>
    <mergeCell ref="W84:W85"/>
    <mergeCell ref="F2:F3"/>
    <mergeCell ref="U2:U3"/>
    <mergeCell ref="V2:V3"/>
    <mergeCell ref="W2:W3"/>
    <mergeCell ref="A4:A5"/>
    <mergeCell ref="C4:C5"/>
    <mergeCell ref="F4:F5"/>
    <mergeCell ref="U4:U5"/>
    <mergeCell ref="V4:V5"/>
    <mergeCell ref="W4:W5"/>
    <mergeCell ref="B2:B3"/>
    <mergeCell ref="B4:B5"/>
    <mergeCell ref="A2:A3"/>
    <mergeCell ref="C2:C3"/>
    <mergeCell ref="F6:F7"/>
    <mergeCell ref="U6:U7"/>
    <mergeCell ref="V6:V7"/>
    <mergeCell ref="A88:A89"/>
    <mergeCell ref="B88:B89"/>
    <mergeCell ref="C88:C89"/>
    <mergeCell ref="F88:F89"/>
    <mergeCell ref="U88:U89"/>
    <mergeCell ref="V88:V89"/>
    <mergeCell ref="W88:W89"/>
    <mergeCell ref="A86:A87"/>
    <mergeCell ref="B86:B87"/>
    <mergeCell ref="C86:C87"/>
    <mergeCell ref="F86:F87"/>
    <mergeCell ref="U86:U87"/>
    <mergeCell ref="V86:V87"/>
    <mergeCell ref="W86:W87"/>
    <mergeCell ref="A90:A91"/>
    <mergeCell ref="B90:B91"/>
    <mergeCell ref="C90:C91"/>
    <mergeCell ref="F90:F91"/>
    <mergeCell ref="U90:U91"/>
    <mergeCell ref="V90:V91"/>
    <mergeCell ref="W90:W91"/>
    <mergeCell ref="A92:A93"/>
    <mergeCell ref="B92:B93"/>
    <mergeCell ref="C92:C93"/>
    <mergeCell ref="F92:F93"/>
    <mergeCell ref="U92:U93"/>
    <mergeCell ref="V92:V93"/>
    <mergeCell ref="W92:W93"/>
  </mergeCells>
  <phoneticPr fontId="1" type="noConversion"/>
  <conditionalFormatting sqref="S5 L11 M69:O69 Q33:T33 Q11:T11 G5:P5 G3:N3 O15 M21:T21 P29:T29 O47 Q47:T47 M59:N59 M61:O61 M67:T67 Q69:T69 Q71:T71 Q65:S65 Q9:T9 Q59:T59 M71:O71 L75:N75 Q15:T15 Q7:T7 O11 L77:T77 P75:T75 Q61:T61 O31:T31">
    <cfRule type="containsText" dxfId="825" priority="478" operator="containsText" text="注意">
      <formula>NOT(ISERROR(SEARCH("注意",G3)))</formula>
    </cfRule>
    <cfRule type="containsText" dxfId="824" priority="479" operator="containsText" text="延期">
      <formula>NOT(ISERROR(SEARCH("延期",G3)))</formula>
    </cfRule>
    <cfRule type="containsText" dxfId="823" priority="480" operator="containsText" text="预警">
      <formula>NOT(ISERROR(SEARCH("预警",G3)))</formula>
    </cfRule>
  </conditionalFormatting>
  <conditionalFormatting sqref="T3">
    <cfRule type="containsText" dxfId="822" priority="481" operator="containsText" text="注意">
      <formula>NOT(ISERROR(SEARCH("注意",T3)))</formula>
    </cfRule>
    <cfRule type="containsText" dxfId="821" priority="482" operator="containsText" text="延期">
      <formula>NOT(ISERROR(SEARCH("延期",T3)))</formula>
    </cfRule>
    <cfRule type="containsText" dxfId="820" priority="483" operator="containsText" text="预警">
      <formula>NOT(ISERROR(SEARCH("预警",T3)))</formula>
    </cfRule>
  </conditionalFormatting>
  <conditionalFormatting sqref="G7 M7:N7">
    <cfRule type="containsText" dxfId="819" priority="475" operator="containsText" text="注意">
      <formula>NOT(ISERROR(SEARCH("注意",G7)))</formula>
    </cfRule>
    <cfRule type="containsText" dxfId="818" priority="476" operator="containsText" text="延期">
      <formula>NOT(ISERROR(SEARCH("延期",G7)))</formula>
    </cfRule>
    <cfRule type="containsText" dxfId="817" priority="477" operator="containsText" text="预警">
      <formula>NOT(ISERROR(SEARCH("预警",G7)))</formula>
    </cfRule>
  </conditionalFormatting>
  <conditionalFormatting sqref="T5">
    <cfRule type="containsText" dxfId="816" priority="472" operator="containsText" text="注意">
      <formula>NOT(ISERROR(SEARCH("注意",T5)))</formula>
    </cfRule>
    <cfRule type="containsText" dxfId="815" priority="473" operator="containsText" text="延期">
      <formula>NOT(ISERROR(SEARCH("延期",T5)))</formula>
    </cfRule>
    <cfRule type="containsText" dxfId="814" priority="474" operator="containsText" text="预警">
      <formula>NOT(ISERROR(SEARCH("预警",T5)))</formula>
    </cfRule>
  </conditionalFormatting>
  <conditionalFormatting sqref="G11">
    <cfRule type="containsText" dxfId="813" priority="469" operator="containsText" text="注意">
      <formula>NOT(ISERROR(SEARCH("注意",G11)))</formula>
    </cfRule>
    <cfRule type="containsText" dxfId="812" priority="470" operator="containsText" text="延期">
      <formula>NOT(ISERROR(SEARCH("延期",G11)))</formula>
    </cfRule>
    <cfRule type="containsText" dxfId="811" priority="471" operator="containsText" text="预警">
      <formula>NOT(ISERROR(SEARCH("预警",G11)))</formula>
    </cfRule>
  </conditionalFormatting>
  <conditionalFormatting sqref="G9">
    <cfRule type="containsText" dxfId="810" priority="466" operator="containsText" text="注意">
      <formula>NOT(ISERROR(SEARCH("注意",G9)))</formula>
    </cfRule>
    <cfRule type="containsText" dxfId="809" priority="467" operator="containsText" text="延期">
      <formula>NOT(ISERROR(SEARCH("延期",G9)))</formula>
    </cfRule>
    <cfRule type="containsText" dxfId="808" priority="468" operator="containsText" text="预警">
      <formula>NOT(ISERROR(SEARCH("预警",G9)))</formula>
    </cfRule>
  </conditionalFormatting>
  <conditionalFormatting sqref="H9">
    <cfRule type="containsText" dxfId="807" priority="463" operator="containsText" text="注意">
      <formula>NOT(ISERROR(SEARCH("注意",H9)))</formula>
    </cfRule>
    <cfRule type="containsText" dxfId="806" priority="464" operator="containsText" text="延期">
      <formula>NOT(ISERROR(SEARCH("延期",H9)))</formula>
    </cfRule>
    <cfRule type="containsText" dxfId="805" priority="465" operator="containsText" text="预警">
      <formula>NOT(ISERROR(SEARCH("预警",H9)))</formula>
    </cfRule>
  </conditionalFormatting>
  <conditionalFormatting sqref="H11">
    <cfRule type="containsText" dxfId="804" priority="460" operator="containsText" text="注意">
      <formula>NOT(ISERROR(SEARCH("注意",H11)))</formula>
    </cfRule>
    <cfRule type="containsText" dxfId="803" priority="461" operator="containsText" text="延期">
      <formula>NOT(ISERROR(SEARCH("延期",H11)))</formula>
    </cfRule>
    <cfRule type="containsText" dxfId="802" priority="462" operator="containsText" text="预警">
      <formula>NOT(ISERROR(SEARCH("预警",H11)))</formula>
    </cfRule>
  </conditionalFormatting>
  <conditionalFormatting sqref="I11">
    <cfRule type="containsText" dxfId="801" priority="457" operator="containsText" text="注意">
      <formula>NOT(ISERROR(SEARCH("注意",I11)))</formula>
    </cfRule>
    <cfRule type="containsText" dxfId="800" priority="458" operator="containsText" text="延期">
      <formula>NOT(ISERROR(SEARCH("延期",I11)))</formula>
    </cfRule>
    <cfRule type="containsText" dxfId="799" priority="459" operator="containsText" text="预警">
      <formula>NOT(ISERROR(SEARCH("预警",I11)))</formula>
    </cfRule>
  </conditionalFormatting>
  <conditionalFormatting sqref="H7">
    <cfRule type="containsText" dxfId="798" priority="454" operator="containsText" text="注意">
      <formula>NOT(ISERROR(SEARCH("注意",H7)))</formula>
    </cfRule>
    <cfRule type="containsText" dxfId="797" priority="455" operator="containsText" text="延期">
      <formula>NOT(ISERROR(SEARCH("延期",H7)))</formula>
    </cfRule>
    <cfRule type="containsText" dxfId="796" priority="456" operator="containsText" text="预警">
      <formula>NOT(ISERROR(SEARCH("预警",H7)))</formula>
    </cfRule>
  </conditionalFormatting>
  <conditionalFormatting sqref="K7">
    <cfRule type="containsText" dxfId="795" priority="451" operator="containsText" text="注意">
      <formula>NOT(ISERROR(SEARCH("注意",K7)))</formula>
    </cfRule>
    <cfRule type="containsText" dxfId="794" priority="452" operator="containsText" text="延期">
      <formula>NOT(ISERROR(SEARCH("延期",K7)))</formula>
    </cfRule>
    <cfRule type="containsText" dxfId="793" priority="453" operator="containsText" text="预警">
      <formula>NOT(ISERROR(SEARCH("预警",K7)))</formula>
    </cfRule>
  </conditionalFormatting>
  <conditionalFormatting sqref="K15">
    <cfRule type="containsText" dxfId="792" priority="427" operator="containsText" text="注意">
      <formula>NOT(ISERROR(SEARCH("注意",K15)))</formula>
    </cfRule>
    <cfRule type="containsText" dxfId="791" priority="428" operator="containsText" text="延期">
      <formula>NOT(ISERROR(SEARCH("延期",K15)))</formula>
    </cfRule>
    <cfRule type="containsText" dxfId="790" priority="429" operator="containsText" text="预警">
      <formula>NOT(ISERROR(SEARCH("预警",K15)))</formula>
    </cfRule>
  </conditionalFormatting>
  <conditionalFormatting sqref="I7:J7">
    <cfRule type="containsText" dxfId="789" priority="448" operator="containsText" text="注意">
      <formula>NOT(ISERROR(SEARCH("注意",I7)))</formula>
    </cfRule>
    <cfRule type="containsText" dxfId="788" priority="449" operator="containsText" text="延期">
      <formula>NOT(ISERROR(SEARCH("延期",I7)))</formula>
    </cfRule>
    <cfRule type="containsText" dxfId="787" priority="450" operator="containsText" text="预警">
      <formula>NOT(ISERROR(SEARCH("预警",I7)))</formula>
    </cfRule>
  </conditionalFormatting>
  <conditionalFormatting sqref="T17">
    <cfRule type="containsText" dxfId="786" priority="445" operator="containsText" text="注意">
      <formula>NOT(ISERROR(SEARCH("注意",T17)))</formula>
    </cfRule>
    <cfRule type="containsText" dxfId="785" priority="446" operator="containsText" text="延期">
      <formula>NOT(ISERROR(SEARCH("延期",T17)))</formula>
    </cfRule>
    <cfRule type="containsText" dxfId="784" priority="447" operator="containsText" text="预警">
      <formula>NOT(ISERROR(SEARCH("预警",T17)))</formula>
    </cfRule>
  </conditionalFormatting>
  <conditionalFormatting sqref="G15">
    <cfRule type="containsText" dxfId="783" priority="442" operator="containsText" text="注意">
      <formula>NOT(ISERROR(SEARCH("注意",G15)))</formula>
    </cfRule>
    <cfRule type="containsText" dxfId="782" priority="443" operator="containsText" text="延期">
      <formula>NOT(ISERROR(SEARCH("延期",G15)))</formula>
    </cfRule>
    <cfRule type="containsText" dxfId="781" priority="444" operator="containsText" text="预警">
      <formula>NOT(ISERROR(SEARCH("预警",G15)))</formula>
    </cfRule>
  </conditionalFormatting>
  <conditionalFormatting sqref="G17">
    <cfRule type="containsText" dxfId="780" priority="439" operator="containsText" text="注意">
      <formula>NOT(ISERROR(SEARCH("注意",G17)))</formula>
    </cfRule>
    <cfRule type="containsText" dxfId="779" priority="440" operator="containsText" text="延期">
      <formula>NOT(ISERROR(SEARCH("延期",G17)))</formula>
    </cfRule>
    <cfRule type="containsText" dxfId="778" priority="441" operator="containsText" text="预警">
      <formula>NOT(ISERROR(SEARCH("预警",G17)))</formula>
    </cfRule>
  </conditionalFormatting>
  <conditionalFormatting sqref="I9">
    <cfRule type="containsText" dxfId="777" priority="436" operator="containsText" text="注意">
      <formula>NOT(ISERROR(SEARCH("注意",I9)))</formula>
    </cfRule>
    <cfRule type="containsText" dxfId="776" priority="437" operator="containsText" text="延期">
      <formula>NOT(ISERROR(SEARCH("延期",I9)))</formula>
    </cfRule>
    <cfRule type="containsText" dxfId="775" priority="438" operator="containsText" text="预警">
      <formula>NOT(ISERROR(SEARCH("预警",I9)))</formula>
    </cfRule>
  </conditionalFormatting>
  <conditionalFormatting sqref="K9">
    <cfRule type="containsText" dxfId="774" priority="433" operator="containsText" text="注意">
      <formula>NOT(ISERROR(SEARCH("注意",K9)))</formula>
    </cfRule>
    <cfRule type="containsText" dxfId="773" priority="434" operator="containsText" text="延期">
      <formula>NOT(ISERROR(SEARCH("延期",K9)))</formula>
    </cfRule>
    <cfRule type="containsText" dxfId="772" priority="435" operator="containsText" text="预警">
      <formula>NOT(ISERROR(SEARCH("预警",K9)))</formula>
    </cfRule>
  </conditionalFormatting>
  <conditionalFormatting sqref="K11">
    <cfRule type="containsText" dxfId="771" priority="430" operator="containsText" text="注意">
      <formula>NOT(ISERROR(SEARCH("注意",K11)))</formula>
    </cfRule>
    <cfRule type="containsText" dxfId="770" priority="431" operator="containsText" text="延期">
      <formula>NOT(ISERROR(SEARCH("延期",K11)))</formula>
    </cfRule>
    <cfRule type="containsText" dxfId="769" priority="432" operator="containsText" text="预警">
      <formula>NOT(ISERROR(SEARCH("预警",K11)))</formula>
    </cfRule>
  </conditionalFormatting>
  <conditionalFormatting sqref="K17">
    <cfRule type="containsText" dxfId="768" priority="424" operator="containsText" text="注意">
      <formula>NOT(ISERROR(SEARCH("注意",K17)))</formula>
    </cfRule>
    <cfRule type="containsText" dxfId="767" priority="425" operator="containsText" text="延期">
      <formula>NOT(ISERROR(SEARCH("延期",K17)))</formula>
    </cfRule>
    <cfRule type="containsText" dxfId="766" priority="426" operator="containsText" text="预警">
      <formula>NOT(ISERROR(SEARCH("预警",K17)))</formula>
    </cfRule>
  </conditionalFormatting>
  <conditionalFormatting sqref="H15:I15">
    <cfRule type="containsText" dxfId="765" priority="421" operator="containsText" text="注意">
      <formula>NOT(ISERROR(SEARCH("注意",H15)))</formula>
    </cfRule>
    <cfRule type="containsText" dxfId="764" priority="422" operator="containsText" text="延期">
      <formula>NOT(ISERROR(SEARCH("延期",H15)))</formula>
    </cfRule>
    <cfRule type="containsText" dxfId="763" priority="423" operator="containsText" text="预警">
      <formula>NOT(ISERROR(SEARCH("预警",H15)))</formula>
    </cfRule>
  </conditionalFormatting>
  <conditionalFormatting sqref="H17:I17">
    <cfRule type="containsText" dxfId="762" priority="418" operator="containsText" text="注意">
      <formula>NOT(ISERROR(SEARCH("注意",H17)))</formula>
    </cfRule>
    <cfRule type="containsText" dxfId="761" priority="419" operator="containsText" text="延期">
      <formula>NOT(ISERROR(SEARCH("延期",H17)))</formula>
    </cfRule>
    <cfRule type="containsText" dxfId="760" priority="420" operator="containsText" text="预警">
      <formula>NOT(ISERROR(SEARCH("预警",H17)))</formula>
    </cfRule>
  </conditionalFormatting>
  <conditionalFormatting sqref="L7">
    <cfRule type="containsText" dxfId="759" priority="415" operator="containsText" text="注意">
      <formula>NOT(ISERROR(SEARCH("注意",L7)))</formula>
    </cfRule>
    <cfRule type="containsText" dxfId="758" priority="416" operator="containsText" text="延期">
      <formula>NOT(ISERROR(SEARCH("延期",L7)))</formula>
    </cfRule>
    <cfRule type="containsText" dxfId="757" priority="417" operator="containsText" text="预警">
      <formula>NOT(ISERROR(SEARCH("预警",L7)))</formula>
    </cfRule>
  </conditionalFormatting>
  <conditionalFormatting sqref="R23:T23">
    <cfRule type="containsText" dxfId="756" priority="412" operator="containsText" text="注意">
      <formula>NOT(ISERROR(SEARCH("注意",R23)))</formula>
    </cfRule>
    <cfRule type="containsText" dxfId="755" priority="413" operator="containsText" text="延期">
      <formula>NOT(ISERROR(SEARCH("延期",R23)))</formula>
    </cfRule>
    <cfRule type="containsText" dxfId="754" priority="414" operator="containsText" text="预警">
      <formula>NOT(ISERROR(SEARCH("预警",R23)))</formula>
    </cfRule>
  </conditionalFormatting>
  <conditionalFormatting sqref="M37:N37 R37:T37">
    <cfRule type="containsText" dxfId="753" priority="409" operator="containsText" text="注意">
      <formula>NOT(ISERROR(SEARCH("注意",M37)))</formula>
    </cfRule>
    <cfRule type="containsText" dxfId="752" priority="410" operator="containsText" text="延期">
      <formula>NOT(ISERROR(SEARCH("延期",M37)))</formula>
    </cfRule>
    <cfRule type="containsText" dxfId="751" priority="411" operator="containsText" text="预警">
      <formula>NOT(ISERROR(SEARCH("预警",M37)))</formula>
    </cfRule>
  </conditionalFormatting>
  <conditionalFormatting sqref="M39:N39 R39:T39">
    <cfRule type="containsText" dxfId="750" priority="406" operator="containsText" text="注意">
      <formula>NOT(ISERROR(SEARCH("注意",M39)))</formula>
    </cfRule>
    <cfRule type="containsText" dxfId="749" priority="407" operator="containsText" text="延期">
      <formula>NOT(ISERROR(SEARCH("延期",M39)))</formula>
    </cfRule>
    <cfRule type="containsText" dxfId="748" priority="408" operator="containsText" text="预警">
      <formula>NOT(ISERROR(SEARCH("预警",M39)))</formula>
    </cfRule>
  </conditionalFormatting>
  <conditionalFormatting sqref="T38">
    <cfRule type="containsText" dxfId="747" priority="403" operator="containsText" text="注意">
      <formula>NOT(ISERROR(SEARCH("注意",T38)))</formula>
    </cfRule>
    <cfRule type="containsText" dxfId="746" priority="404" operator="containsText" text="延期">
      <formula>NOT(ISERROR(SEARCH("延期",T38)))</formula>
    </cfRule>
    <cfRule type="containsText" dxfId="745" priority="405" operator="containsText" text="预警">
      <formula>NOT(ISERROR(SEARCH("预警",T38)))</formula>
    </cfRule>
  </conditionalFormatting>
  <conditionalFormatting sqref="Q5">
    <cfRule type="containsText" dxfId="744" priority="400" operator="containsText" text="注意">
      <formula>NOT(ISERROR(SEARCH("注意",Q5)))</formula>
    </cfRule>
    <cfRule type="containsText" dxfId="743" priority="401" operator="containsText" text="延期">
      <formula>NOT(ISERROR(SEARCH("延期",Q5)))</formula>
    </cfRule>
    <cfRule type="containsText" dxfId="742" priority="402" operator="containsText" text="预警">
      <formula>NOT(ISERROR(SEARCH("预警",Q5)))</formula>
    </cfRule>
  </conditionalFormatting>
  <conditionalFormatting sqref="R5">
    <cfRule type="containsText" dxfId="741" priority="397" operator="containsText" text="注意">
      <formula>NOT(ISERROR(SEARCH("注意",R5)))</formula>
    </cfRule>
    <cfRule type="containsText" dxfId="740" priority="398" operator="containsText" text="延期">
      <formula>NOT(ISERROR(SEARCH("延期",R5)))</formula>
    </cfRule>
    <cfRule type="containsText" dxfId="739" priority="399" operator="containsText" text="预警">
      <formula>NOT(ISERROR(SEARCH("预警",R5)))</formula>
    </cfRule>
  </conditionalFormatting>
  <conditionalFormatting sqref="L9">
    <cfRule type="containsText" dxfId="738" priority="388" operator="containsText" text="注意">
      <formula>NOT(ISERROR(SEARCH("注意",L9)))</formula>
    </cfRule>
    <cfRule type="containsText" dxfId="737" priority="389" operator="containsText" text="延期">
      <formula>NOT(ISERROR(SEARCH("延期",L9)))</formula>
    </cfRule>
    <cfRule type="containsText" dxfId="736" priority="390" operator="containsText" text="预警">
      <formula>NOT(ISERROR(SEARCH("预警",L9)))</formula>
    </cfRule>
  </conditionalFormatting>
  <conditionalFormatting sqref="J15">
    <cfRule type="containsText" dxfId="735" priority="394" operator="containsText" text="注意">
      <formula>NOT(ISERROR(SEARCH("注意",J15)))</formula>
    </cfRule>
    <cfRule type="containsText" dxfId="734" priority="395" operator="containsText" text="延期">
      <formula>NOT(ISERROR(SEARCH("延期",J15)))</formula>
    </cfRule>
    <cfRule type="containsText" dxfId="733" priority="396" operator="containsText" text="预警">
      <formula>NOT(ISERROR(SEARCH("预警",J15)))</formula>
    </cfRule>
  </conditionalFormatting>
  <conditionalFormatting sqref="J17">
    <cfRule type="containsText" dxfId="732" priority="391" operator="containsText" text="注意">
      <formula>NOT(ISERROR(SEARCH("注意",J17)))</formula>
    </cfRule>
    <cfRule type="containsText" dxfId="731" priority="392" operator="containsText" text="延期">
      <formula>NOT(ISERROR(SEARCH("延期",J17)))</formula>
    </cfRule>
    <cfRule type="containsText" dxfId="730" priority="393" operator="containsText" text="预警">
      <formula>NOT(ISERROR(SEARCH("预警",J17)))</formula>
    </cfRule>
  </conditionalFormatting>
  <conditionalFormatting sqref="M43:N43">
    <cfRule type="containsText" dxfId="729" priority="382" operator="containsText" text="注意">
      <formula>NOT(ISERROR(SEARCH("注意",M43)))</formula>
    </cfRule>
    <cfRule type="containsText" dxfId="728" priority="383" operator="containsText" text="延期">
      <formula>NOT(ISERROR(SEARCH("延期",M43)))</formula>
    </cfRule>
    <cfRule type="containsText" dxfId="727" priority="384" operator="containsText" text="预警">
      <formula>NOT(ISERROR(SEARCH("预警",M43)))</formula>
    </cfRule>
  </conditionalFormatting>
  <conditionalFormatting sqref="R45:T45">
    <cfRule type="containsText" dxfId="726" priority="376" operator="containsText" text="注意">
      <formula>NOT(ISERROR(SEARCH("注意",R45)))</formula>
    </cfRule>
    <cfRule type="containsText" dxfId="725" priority="377" operator="containsText" text="延期">
      <formula>NOT(ISERROR(SEARCH("延期",R45)))</formula>
    </cfRule>
    <cfRule type="containsText" dxfId="724" priority="378" operator="containsText" text="预警">
      <formula>NOT(ISERROR(SEARCH("预警",R45)))</formula>
    </cfRule>
  </conditionalFormatting>
  <conditionalFormatting sqref="M41:N41">
    <cfRule type="containsText" dxfId="723" priority="385" operator="containsText" text="注意">
      <formula>NOT(ISERROR(SEARCH("注意",M41)))</formula>
    </cfRule>
    <cfRule type="containsText" dxfId="722" priority="386" operator="containsText" text="延期">
      <formula>NOT(ISERROR(SEARCH("延期",M41)))</formula>
    </cfRule>
    <cfRule type="containsText" dxfId="721" priority="387" operator="containsText" text="预警">
      <formula>NOT(ISERROR(SEARCH("预警",M41)))</formula>
    </cfRule>
  </conditionalFormatting>
  <conditionalFormatting sqref="L17">
    <cfRule type="containsText" dxfId="720" priority="370" operator="containsText" text="注意">
      <formula>NOT(ISERROR(SEARCH("注意",L17)))</formula>
    </cfRule>
    <cfRule type="containsText" dxfId="719" priority="371" operator="containsText" text="延期">
      <formula>NOT(ISERROR(SEARCH("延期",L17)))</formula>
    </cfRule>
    <cfRule type="containsText" dxfId="718" priority="372" operator="containsText" text="预警">
      <formula>NOT(ISERROR(SEARCH("预警",L17)))</formula>
    </cfRule>
  </conditionalFormatting>
  <conditionalFormatting sqref="T35">
    <cfRule type="containsText" dxfId="717" priority="379" operator="containsText" text="注意">
      <formula>NOT(ISERROR(SEARCH("注意",T35)))</formula>
    </cfRule>
    <cfRule type="containsText" dxfId="716" priority="380" operator="containsText" text="延期">
      <formula>NOT(ISERROR(SEARCH("延期",T35)))</formula>
    </cfRule>
    <cfRule type="containsText" dxfId="715" priority="381" operator="containsText" text="预警">
      <formula>NOT(ISERROR(SEARCH("预警",T35)))</formula>
    </cfRule>
  </conditionalFormatting>
  <conditionalFormatting sqref="L15">
    <cfRule type="containsText" dxfId="714" priority="373" operator="containsText" text="注意">
      <formula>NOT(ISERROR(SEARCH("注意",L15)))</formula>
    </cfRule>
    <cfRule type="containsText" dxfId="713" priority="374" operator="containsText" text="延期">
      <formula>NOT(ISERROR(SEARCH("延期",L15)))</formula>
    </cfRule>
    <cfRule type="containsText" dxfId="712" priority="375" operator="containsText" text="预警">
      <formula>NOT(ISERROR(SEARCH("预警",L15)))</formula>
    </cfRule>
  </conditionalFormatting>
  <conditionalFormatting sqref="R25:T25">
    <cfRule type="containsText" dxfId="711" priority="367" operator="containsText" text="注意">
      <formula>NOT(ISERROR(SEARCH("注意",R25)))</formula>
    </cfRule>
    <cfRule type="containsText" dxfId="710" priority="368" operator="containsText" text="延期">
      <formula>NOT(ISERROR(SEARCH("延期",R25)))</formula>
    </cfRule>
    <cfRule type="containsText" dxfId="709" priority="369" operator="containsText" text="预警">
      <formula>NOT(ISERROR(SEARCH("预警",R25)))</formula>
    </cfRule>
  </conditionalFormatting>
  <conditionalFormatting sqref="R27:T27">
    <cfRule type="containsText" dxfId="708" priority="364" operator="containsText" text="注意">
      <formula>NOT(ISERROR(SEARCH("注意",R27)))</formula>
    </cfRule>
    <cfRule type="containsText" dxfId="707" priority="365" operator="containsText" text="延期">
      <formula>NOT(ISERROR(SEARCH("延期",R27)))</formula>
    </cfRule>
    <cfRule type="containsText" dxfId="706" priority="366" operator="containsText" text="预警">
      <formula>NOT(ISERROR(SEARCH("预警",R27)))</formula>
    </cfRule>
  </conditionalFormatting>
  <conditionalFormatting sqref="O3:P3">
    <cfRule type="containsText" dxfId="705" priority="361" operator="containsText" text="注意">
      <formula>NOT(ISERROR(SEARCH("注意",O3)))</formula>
    </cfRule>
    <cfRule type="containsText" dxfId="704" priority="362" operator="containsText" text="延期">
      <formula>NOT(ISERROR(SEARCH("延期",O3)))</formula>
    </cfRule>
    <cfRule type="containsText" dxfId="703" priority="363" operator="containsText" text="预警">
      <formula>NOT(ISERROR(SEARCH("预警",O3)))</formula>
    </cfRule>
  </conditionalFormatting>
  <conditionalFormatting sqref="O7">
    <cfRule type="containsText" dxfId="702" priority="358" operator="containsText" text="注意">
      <formula>NOT(ISERROR(SEARCH("注意",O7)))</formula>
    </cfRule>
    <cfRule type="containsText" dxfId="701" priority="359" operator="containsText" text="延期">
      <formula>NOT(ISERROR(SEARCH("延期",O7)))</formula>
    </cfRule>
    <cfRule type="containsText" dxfId="700" priority="360" operator="containsText" text="预警">
      <formula>NOT(ISERROR(SEARCH("预警",O7)))</formula>
    </cfRule>
  </conditionalFormatting>
  <conditionalFormatting sqref="M49:N49 R49:T49">
    <cfRule type="containsText" dxfId="699" priority="355" operator="containsText" text="注意">
      <formula>NOT(ISERROR(SEARCH("注意",M49)))</formula>
    </cfRule>
    <cfRule type="containsText" dxfId="698" priority="356" operator="containsText" text="延期">
      <formula>NOT(ISERROR(SEARCH("延期",M49)))</formula>
    </cfRule>
    <cfRule type="containsText" dxfId="697" priority="357" operator="containsText" text="预警">
      <formula>NOT(ISERROR(SEARCH("预警",M49)))</formula>
    </cfRule>
  </conditionalFormatting>
  <conditionalFormatting sqref="G47">
    <cfRule type="containsText" dxfId="696" priority="352" operator="containsText" text="注意">
      <formula>NOT(ISERROR(SEARCH("注意",G47)))</formula>
    </cfRule>
    <cfRule type="containsText" dxfId="695" priority="353" operator="containsText" text="延期">
      <formula>NOT(ISERROR(SEARCH("延期",G47)))</formula>
    </cfRule>
    <cfRule type="containsText" dxfId="694" priority="354" operator="containsText" text="预警">
      <formula>NOT(ISERROR(SEARCH("预警",G47)))</formula>
    </cfRule>
  </conditionalFormatting>
  <conditionalFormatting sqref="O17">
    <cfRule type="containsText" dxfId="693" priority="349" operator="containsText" text="注意">
      <formula>NOT(ISERROR(SEARCH("注意",O17)))</formula>
    </cfRule>
    <cfRule type="containsText" dxfId="692" priority="350" operator="containsText" text="延期">
      <formula>NOT(ISERROR(SEARCH("延期",O17)))</formula>
    </cfRule>
    <cfRule type="containsText" dxfId="691" priority="351" operator="containsText" text="预警">
      <formula>NOT(ISERROR(SEARCH("预警",O17)))</formula>
    </cfRule>
  </conditionalFormatting>
  <conditionalFormatting sqref="M51:N51 R51:T51">
    <cfRule type="containsText" dxfId="690" priority="340" operator="containsText" text="注意">
      <formula>NOT(ISERROR(SEARCH("注意",M51)))</formula>
    </cfRule>
    <cfRule type="containsText" dxfId="689" priority="341" operator="containsText" text="延期">
      <formula>NOT(ISERROR(SEARCH("延期",M51)))</formula>
    </cfRule>
    <cfRule type="containsText" dxfId="688" priority="342" operator="containsText" text="预警">
      <formula>NOT(ISERROR(SEARCH("预警",M51)))</formula>
    </cfRule>
  </conditionalFormatting>
  <conditionalFormatting sqref="H47">
    <cfRule type="containsText" dxfId="687" priority="346" operator="containsText" text="注意">
      <formula>NOT(ISERROR(SEARCH("注意",H47)))</formula>
    </cfRule>
    <cfRule type="containsText" dxfId="686" priority="347" operator="containsText" text="延期">
      <formula>NOT(ISERROR(SEARCH("延期",H47)))</formula>
    </cfRule>
    <cfRule type="containsText" dxfId="685" priority="348" operator="containsText" text="预警">
      <formula>NOT(ISERROR(SEARCH("预警",H47)))</formula>
    </cfRule>
  </conditionalFormatting>
  <conditionalFormatting sqref="G49">
    <cfRule type="containsText" dxfId="684" priority="343" operator="containsText" text="注意">
      <formula>NOT(ISERROR(SEARCH("注意",G49)))</formula>
    </cfRule>
    <cfRule type="containsText" dxfId="683" priority="344" operator="containsText" text="延期">
      <formula>NOT(ISERROR(SEARCH("延期",G49)))</formula>
    </cfRule>
    <cfRule type="containsText" dxfId="682" priority="345" operator="containsText" text="预警">
      <formula>NOT(ISERROR(SEARCH("预警",G49)))</formula>
    </cfRule>
  </conditionalFormatting>
  <conditionalFormatting sqref="M53:N53 R53:T53">
    <cfRule type="containsText" dxfId="681" priority="337" operator="containsText" text="注意">
      <formula>NOT(ISERROR(SEARCH("注意",M53)))</formula>
    </cfRule>
    <cfRule type="containsText" dxfId="680" priority="338" operator="containsText" text="延期">
      <formula>NOT(ISERROR(SEARCH("延期",M53)))</formula>
    </cfRule>
    <cfRule type="containsText" dxfId="679" priority="339" operator="containsText" text="预警">
      <formula>NOT(ISERROR(SEARCH("预警",M53)))</formula>
    </cfRule>
  </conditionalFormatting>
  <conditionalFormatting sqref="G53">
    <cfRule type="containsText" dxfId="678" priority="334" operator="containsText" text="注意">
      <formula>NOT(ISERROR(SEARCH("注意",G53)))</formula>
    </cfRule>
    <cfRule type="containsText" dxfId="677" priority="335" operator="containsText" text="延期">
      <formula>NOT(ISERROR(SEARCH("延期",G53)))</formula>
    </cfRule>
    <cfRule type="containsText" dxfId="676" priority="336" operator="containsText" text="预警">
      <formula>NOT(ISERROR(SEARCH("预警",G53)))</formula>
    </cfRule>
  </conditionalFormatting>
  <conditionalFormatting sqref="M55:N55 R55:T55">
    <cfRule type="containsText" dxfId="675" priority="331" operator="containsText" text="注意">
      <formula>NOT(ISERROR(SEARCH("注意",M55)))</formula>
    </cfRule>
    <cfRule type="containsText" dxfId="674" priority="332" operator="containsText" text="延期">
      <formula>NOT(ISERROR(SEARCH("延期",M55)))</formula>
    </cfRule>
    <cfRule type="containsText" dxfId="673" priority="333" operator="containsText" text="预警">
      <formula>NOT(ISERROR(SEARCH("预警",M55)))</formula>
    </cfRule>
  </conditionalFormatting>
  <conditionalFormatting sqref="M57:N57 R57:T57">
    <cfRule type="containsText" dxfId="672" priority="328" operator="containsText" text="注意">
      <formula>NOT(ISERROR(SEARCH("注意",M57)))</formula>
    </cfRule>
    <cfRule type="containsText" dxfId="671" priority="329" operator="containsText" text="延期">
      <formula>NOT(ISERROR(SEARCH("延期",M57)))</formula>
    </cfRule>
    <cfRule type="containsText" dxfId="670" priority="330" operator="containsText" text="预警">
      <formula>NOT(ISERROR(SEARCH("预警",M57)))</formula>
    </cfRule>
  </conditionalFormatting>
  <conditionalFormatting sqref="G51">
    <cfRule type="containsText" dxfId="669" priority="325" operator="containsText" text="注意">
      <formula>NOT(ISERROR(SEARCH("注意",G51)))</formula>
    </cfRule>
    <cfRule type="containsText" dxfId="668" priority="326" operator="containsText" text="延期">
      <formula>NOT(ISERROR(SEARCH("延期",G51)))</formula>
    </cfRule>
    <cfRule type="containsText" dxfId="667" priority="327" operator="containsText" text="预警">
      <formula>NOT(ISERROR(SEARCH("预警",G51)))</formula>
    </cfRule>
  </conditionalFormatting>
  <conditionalFormatting sqref="H49">
    <cfRule type="containsText" dxfId="666" priority="322" operator="containsText" text="注意">
      <formula>NOT(ISERROR(SEARCH("注意",H49)))</formula>
    </cfRule>
    <cfRule type="containsText" dxfId="665" priority="323" operator="containsText" text="延期">
      <formula>NOT(ISERROR(SEARCH("延期",H49)))</formula>
    </cfRule>
    <cfRule type="containsText" dxfId="664" priority="324" operator="containsText" text="预警">
      <formula>NOT(ISERROR(SEARCH("预警",H49)))</formula>
    </cfRule>
  </conditionalFormatting>
  <conditionalFormatting sqref="Q43:R43">
    <cfRule type="containsText" dxfId="663" priority="319" operator="containsText" text="注意">
      <formula>NOT(ISERROR(SEARCH("注意",Q43)))</formula>
    </cfRule>
    <cfRule type="containsText" dxfId="662" priority="320" operator="containsText" text="延期">
      <formula>NOT(ISERROR(SEARCH("延期",Q43)))</formula>
    </cfRule>
    <cfRule type="containsText" dxfId="661" priority="321" operator="containsText" text="预警">
      <formula>NOT(ISERROR(SEARCH("预警",Q43)))</formula>
    </cfRule>
  </conditionalFormatting>
  <conditionalFormatting sqref="I47">
    <cfRule type="containsText" dxfId="660" priority="316" operator="containsText" text="注意">
      <formula>NOT(ISERROR(SEARCH("注意",I47)))</formula>
    </cfRule>
    <cfRule type="containsText" dxfId="659" priority="317" operator="containsText" text="延期">
      <formula>NOT(ISERROR(SEARCH("延期",I47)))</formula>
    </cfRule>
    <cfRule type="containsText" dxfId="658" priority="318" operator="containsText" text="预警">
      <formula>NOT(ISERROR(SEARCH("预警",I47)))</formula>
    </cfRule>
  </conditionalFormatting>
  <conditionalFormatting sqref="K47">
    <cfRule type="containsText" dxfId="657" priority="313" operator="containsText" text="注意">
      <formula>NOT(ISERROR(SEARCH("注意",K47)))</formula>
    </cfRule>
    <cfRule type="containsText" dxfId="656" priority="314" operator="containsText" text="延期">
      <formula>NOT(ISERROR(SEARCH("延期",K47)))</formula>
    </cfRule>
    <cfRule type="containsText" dxfId="655" priority="315" operator="containsText" text="预警">
      <formula>NOT(ISERROR(SEARCH("预警",K47)))</formula>
    </cfRule>
  </conditionalFormatting>
  <conditionalFormatting sqref="I49">
    <cfRule type="containsText" dxfId="654" priority="310" operator="containsText" text="注意">
      <formula>NOT(ISERROR(SEARCH("注意",I49)))</formula>
    </cfRule>
    <cfRule type="containsText" dxfId="653" priority="311" operator="containsText" text="延期">
      <formula>NOT(ISERROR(SEARCH("延期",I49)))</formula>
    </cfRule>
    <cfRule type="containsText" dxfId="652" priority="312" operator="containsText" text="预警">
      <formula>NOT(ISERROR(SEARCH("预警",I49)))</formula>
    </cfRule>
  </conditionalFormatting>
  <conditionalFormatting sqref="G55">
    <cfRule type="containsText" dxfId="651" priority="307" operator="containsText" text="注意">
      <formula>NOT(ISERROR(SEARCH("注意",G55)))</formula>
    </cfRule>
    <cfRule type="containsText" dxfId="650" priority="308" operator="containsText" text="延期">
      <formula>NOT(ISERROR(SEARCH("延期",G55)))</formula>
    </cfRule>
    <cfRule type="containsText" dxfId="649" priority="309" operator="containsText" text="预警">
      <formula>NOT(ISERROR(SEARCH("预警",G55)))</formula>
    </cfRule>
  </conditionalFormatting>
  <conditionalFormatting sqref="K49">
    <cfRule type="containsText" dxfId="648" priority="304" operator="containsText" text="注意">
      <formula>NOT(ISERROR(SEARCH("注意",K49)))</formula>
    </cfRule>
    <cfRule type="containsText" dxfId="647" priority="305" operator="containsText" text="延期">
      <formula>NOT(ISERROR(SEARCH("延期",K49)))</formula>
    </cfRule>
    <cfRule type="containsText" dxfId="646" priority="306" operator="containsText" text="预警">
      <formula>NOT(ISERROR(SEARCH("预警",K49)))</formula>
    </cfRule>
  </conditionalFormatting>
  <conditionalFormatting sqref="H51">
    <cfRule type="containsText" dxfId="645" priority="301" operator="containsText" text="注意">
      <formula>NOT(ISERROR(SEARCH("注意",H51)))</formula>
    </cfRule>
    <cfRule type="containsText" dxfId="644" priority="302" operator="containsText" text="延期">
      <formula>NOT(ISERROR(SEARCH("延期",H51)))</formula>
    </cfRule>
    <cfRule type="containsText" dxfId="643" priority="303" operator="containsText" text="预警">
      <formula>NOT(ISERROR(SEARCH("预警",H51)))</formula>
    </cfRule>
  </conditionalFormatting>
  <conditionalFormatting sqref="H53:I53">
    <cfRule type="containsText" dxfId="642" priority="298" operator="containsText" text="注意">
      <formula>NOT(ISERROR(SEARCH("注意",H53)))</formula>
    </cfRule>
    <cfRule type="containsText" dxfId="641" priority="299" operator="containsText" text="延期">
      <formula>NOT(ISERROR(SEARCH("延期",H53)))</formula>
    </cfRule>
    <cfRule type="containsText" dxfId="640" priority="300" operator="containsText" text="预警">
      <formula>NOT(ISERROR(SEARCH("预警",H53)))</formula>
    </cfRule>
  </conditionalFormatting>
  <conditionalFormatting sqref="H55">
    <cfRule type="containsText" dxfId="639" priority="295" operator="containsText" text="注意">
      <formula>NOT(ISERROR(SEARCH("注意",H55)))</formula>
    </cfRule>
    <cfRule type="containsText" dxfId="638" priority="296" operator="containsText" text="延期">
      <formula>NOT(ISERROR(SEARCH("延期",H55)))</formula>
    </cfRule>
    <cfRule type="containsText" dxfId="637" priority="297" operator="containsText" text="预警">
      <formula>NOT(ISERROR(SEARCH("预警",H55)))</formula>
    </cfRule>
  </conditionalFormatting>
  <conditionalFormatting sqref="G57">
    <cfRule type="containsText" dxfId="636" priority="292" operator="containsText" text="注意">
      <formula>NOT(ISERROR(SEARCH("注意",G57)))</formula>
    </cfRule>
    <cfRule type="containsText" dxfId="635" priority="293" operator="containsText" text="延期">
      <formula>NOT(ISERROR(SEARCH("延期",G57)))</formula>
    </cfRule>
    <cfRule type="containsText" dxfId="634" priority="294" operator="containsText" text="预警">
      <formula>NOT(ISERROR(SEARCH("预警",G57)))</formula>
    </cfRule>
  </conditionalFormatting>
  <conditionalFormatting sqref="R26:S26">
    <cfRule type="containsText" dxfId="633" priority="289" operator="containsText" text="注意">
      <formula>NOT(ISERROR(SEARCH("注意",R26)))</formula>
    </cfRule>
    <cfRule type="containsText" dxfId="632" priority="290" operator="containsText" text="延期">
      <formula>NOT(ISERROR(SEARCH("延期",R26)))</formula>
    </cfRule>
    <cfRule type="containsText" dxfId="631" priority="291" operator="containsText" text="预警">
      <formula>NOT(ISERROR(SEARCH("预警",R26)))</formula>
    </cfRule>
  </conditionalFormatting>
  <conditionalFormatting sqref="O49:P49">
    <cfRule type="containsText" dxfId="630" priority="286" operator="containsText" text="注意">
      <formula>NOT(ISERROR(SEARCH("注意",O49)))</formula>
    </cfRule>
    <cfRule type="containsText" dxfId="629" priority="287" operator="containsText" text="延期">
      <formula>NOT(ISERROR(SEARCH("延期",O49)))</formula>
    </cfRule>
    <cfRule type="containsText" dxfId="628" priority="288" operator="containsText" text="预警">
      <formula>NOT(ISERROR(SEARCH("预警",O49)))</formula>
    </cfRule>
  </conditionalFormatting>
  <conditionalFormatting sqref="J49">
    <cfRule type="containsText" dxfId="627" priority="283" operator="containsText" text="注意">
      <formula>NOT(ISERROR(SEARCH("注意",J49)))</formula>
    </cfRule>
    <cfRule type="containsText" dxfId="626" priority="284" operator="containsText" text="延期">
      <formula>NOT(ISERROR(SEARCH("延期",J49)))</formula>
    </cfRule>
    <cfRule type="containsText" dxfId="625" priority="285" operator="containsText" text="预警">
      <formula>NOT(ISERROR(SEARCH("预警",J49)))</formula>
    </cfRule>
  </conditionalFormatting>
  <conditionalFormatting sqref="K53">
    <cfRule type="containsText" dxfId="624" priority="280" operator="containsText" text="注意">
      <formula>NOT(ISERROR(SEARCH("注意",K53)))</formula>
    </cfRule>
    <cfRule type="containsText" dxfId="623" priority="281" operator="containsText" text="延期">
      <formula>NOT(ISERROR(SEARCH("延期",K53)))</formula>
    </cfRule>
    <cfRule type="containsText" dxfId="622" priority="282" operator="containsText" text="预警">
      <formula>NOT(ISERROR(SEARCH("预警",K53)))</formula>
    </cfRule>
  </conditionalFormatting>
  <conditionalFormatting sqref="J47">
    <cfRule type="containsText" dxfId="621" priority="277" operator="containsText" text="注意">
      <formula>NOT(ISERROR(SEARCH("注意",J47)))</formula>
    </cfRule>
    <cfRule type="containsText" dxfId="620" priority="278" operator="containsText" text="延期">
      <formula>NOT(ISERROR(SEARCH("延期",J47)))</formula>
    </cfRule>
    <cfRule type="containsText" dxfId="619" priority="279" operator="containsText" text="预警">
      <formula>NOT(ISERROR(SEARCH("预警",J47)))</formula>
    </cfRule>
  </conditionalFormatting>
  <conditionalFormatting sqref="L47">
    <cfRule type="containsText" dxfId="618" priority="274" operator="containsText" text="注意">
      <formula>NOT(ISERROR(SEARCH("注意",L47)))</formula>
    </cfRule>
    <cfRule type="containsText" dxfId="617" priority="275" operator="containsText" text="延期">
      <formula>NOT(ISERROR(SEARCH("延期",L47)))</formula>
    </cfRule>
    <cfRule type="containsText" dxfId="616" priority="276" operator="containsText" text="预警">
      <formula>NOT(ISERROR(SEARCH("预警",L47)))</formula>
    </cfRule>
  </conditionalFormatting>
  <conditionalFormatting sqref="L49">
    <cfRule type="containsText" dxfId="615" priority="271" operator="containsText" text="注意">
      <formula>NOT(ISERROR(SEARCH("注意",L49)))</formula>
    </cfRule>
    <cfRule type="containsText" dxfId="614" priority="272" operator="containsText" text="延期">
      <formula>NOT(ISERROR(SEARCH("延期",L49)))</formula>
    </cfRule>
    <cfRule type="containsText" dxfId="613" priority="273" operator="containsText" text="预警">
      <formula>NOT(ISERROR(SEARCH("预警",L49)))</formula>
    </cfRule>
  </conditionalFormatting>
  <conditionalFormatting sqref="I51">
    <cfRule type="containsText" dxfId="612" priority="268" operator="containsText" text="注意">
      <formula>NOT(ISERROR(SEARCH("注意",I51)))</formula>
    </cfRule>
    <cfRule type="containsText" dxfId="611" priority="269" operator="containsText" text="延期">
      <formula>NOT(ISERROR(SEARCH("延期",I51)))</formula>
    </cfRule>
    <cfRule type="containsText" dxfId="610" priority="270" operator="containsText" text="预警">
      <formula>NOT(ISERROR(SEARCH("预警",I51)))</formula>
    </cfRule>
  </conditionalFormatting>
  <conditionalFormatting sqref="K51">
    <cfRule type="containsText" dxfId="609" priority="265" operator="containsText" text="注意">
      <formula>NOT(ISERROR(SEARCH("注意",K51)))</formula>
    </cfRule>
    <cfRule type="containsText" dxfId="608" priority="266" operator="containsText" text="延期">
      <formula>NOT(ISERROR(SEARCH("延期",K51)))</formula>
    </cfRule>
    <cfRule type="containsText" dxfId="607" priority="267" operator="containsText" text="预警">
      <formula>NOT(ISERROR(SEARCH("预警",K51)))</formula>
    </cfRule>
  </conditionalFormatting>
  <conditionalFormatting sqref="J53">
    <cfRule type="containsText" dxfId="606" priority="262" operator="containsText" text="注意">
      <formula>NOT(ISERROR(SEARCH("注意",J53)))</formula>
    </cfRule>
    <cfRule type="containsText" dxfId="605" priority="263" operator="containsText" text="延期">
      <formula>NOT(ISERROR(SEARCH("延期",J53)))</formula>
    </cfRule>
    <cfRule type="containsText" dxfId="604" priority="264" operator="containsText" text="预警">
      <formula>NOT(ISERROR(SEARCH("预警",J53)))</formula>
    </cfRule>
  </conditionalFormatting>
  <conditionalFormatting sqref="L53">
    <cfRule type="containsText" dxfId="603" priority="259" operator="containsText" text="注意">
      <formula>NOT(ISERROR(SEARCH("注意",L53)))</formula>
    </cfRule>
    <cfRule type="containsText" dxfId="602" priority="260" operator="containsText" text="延期">
      <formula>NOT(ISERROR(SEARCH("延期",L53)))</formula>
    </cfRule>
    <cfRule type="containsText" dxfId="601" priority="261" operator="containsText" text="预警">
      <formula>NOT(ISERROR(SEARCH("预警",L53)))</formula>
    </cfRule>
  </conditionalFormatting>
  <conditionalFormatting sqref="K55">
    <cfRule type="containsText" dxfId="600" priority="256" operator="containsText" text="注意">
      <formula>NOT(ISERROR(SEARCH("注意",K55)))</formula>
    </cfRule>
    <cfRule type="containsText" dxfId="599" priority="257" operator="containsText" text="延期">
      <formula>NOT(ISERROR(SEARCH("延期",K55)))</formula>
    </cfRule>
    <cfRule type="containsText" dxfId="598" priority="258" operator="containsText" text="预警">
      <formula>NOT(ISERROR(SEARCH("预警",K55)))</formula>
    </cfRule>
  </conditionalFormatting>
  <conditionalFormatting sqref="I55">
    <cfRule type="containsText" dxfId="597" priority="253" operator="containsText" text="注意">
      <formula>NOT(ISERROR(SEARCH("注意",I55)))</formula>
    </cfRule>
    <cfRule type="containsText" dxfId="596" priority="254" operator="containsText" text="延期">
      <formula>NOT(ISERROR(SEARCH("延期",I55)))</formula>
    </cfRule>
    <cfRule type="containsText" dxfId="595" priority="255" operator="containsText" text="预警">
      <formula>NOT(ISERROR(SEARCH("预警",I55)))</formula>
    </cfRule>
  </conditionalFormatting>
  <conditionalFormatting sqref="H57">
    <cfRule type="containsText" dxfId="594" priority="250" operator="containsText" text="注意">
      <formula>NOT(ISERROR(SEARCH("注意",H57)))</formula>
    </cfRule>
    <cfRule type="containsText" dxfId="593" priority="251" operator="containsText" text="延期">
      <formula>NOT(ISERROR(SEARCH("延期",H57)))</formula>
    </cfRule>
    <cfRule type="containsText" dxfId="592" priority="252" operator="containsText" text="预警">
      <formula>NOT(ISERROR(SEARCH("预警",H57)))</formula>
    </cfRule>
  </conditionalFormatting>
  <conditionalFormatting sqref="R24:S24">
    <cfRule type="containsText" dxfId="591" priority="247" operator="containsText" text="注意">
      <formula>NOT(ISERROR(SEARCH("注意",R24)))</formula>
    </cfRule>
    <cfRule type="containsText" dxfId="590" priority="248" operator="containsText" text="延期">
      <formula>NOT(ISERROR(SEARCH("延期",R24)))</formula>
    </cfRule>
    <cfRule type="containsText" dxfId="589" priority="249" operator="containsText" text="预警">
      <formula>NOT(ISERROR(SEARCH("预警",R24)))</formula>
    </cfRule>
  </conditionalFormatting>
  <conditionalFormatting sqref="O53">
    <cfRule type="containsText" dxfId="588" priority="244" operator="containsText" text="注意">
      <formula>NOT(ISERROR(SEARCH("注意",O53)))</formula>
    </cfRule>
    <cfRule type="containsText" dxfId="587" priority="245" operator="containsText" text="延期">
      <formula>NOT(ISERROR(SEARCH("延期",O53)))</formula>
    </cfRule>
    <cfRule type="containsText" dxfId="586" priority="246" operator="containsText" text="预警">
      <formula>NOT(ISERROR(SEARCH("预警",O53)))</formula>
    </cfRule>
  </conditionalFormatting>
  <conditionalFormatting sqref="M13:N13 S13:T13">
    <cfRule type="containsText" dxfId="585" priority="241" operator="containsText" text="注意">
      <formula>NOT(ISERROR(SEARCH("注意",M13)))</formula>
    </cfRule>
    <cfRule type="containsText" dxfId="584" priority="242" operator="containsText" text="延期">
      <formula>NOT(ISERROR(SEARCH("延期",M13)))</formula>
    </cfRule>
    <cfRule type="containsText" dxfId="583" priority="243" operator="containsText" text="预警">
      <formula>NOT(ISERROR(SEARCH("预警",M13)))</formula>
    </cfRule>
  </conditionalFormatting>
  <conditionalFormatting sqref="J51">
    <cfRule type="containsText" dxfId="582" priority="238" operator="containsText" text="注意">
      <formula>NOT(ISERROR(SEARCH("注意",J51)))</formula>
    </cfRule>
    <cfRule type="containsText" dxfId="581" priority="239" operator="containsText" text="延期">
      <formula>NOT(ISERROR(SEARCH("延期",J51)))</formula>
    </cfRule>
    <cfRule type="containsText" dxfId="580" priority="240" operator="containsText" text="预警">
      <formula>NOT(ISERROR(SEARCH("预警",J51)))</formula>
    </cfRule>
  </conditionalFormatting>
  <conditionalFormatting sqref="J55">
    <cfRule type="containsText" dxfId="579" priority="235" operator="containsText" text="注意">
      <formula>NOT(ISERROR(SEARCH("注意",J55)))</formula>
    </cfRule>
    <cfRule type="containsText" dxfId="578" priority="236" operator="containsText" text="延期">
      <formula>NOT(ISERROR(SEARCH("延期",J55)))</formula>
    </cfRule>
    <cfRule type="containsText" dxfId="577" priority="237" operator="containsText" text="预警">
      <formula>NOT(ISERROR(SEARCH("预警",J55)))</formula>
    </cfRule>
  </conditionalFormatting>
  <conditionalFormatting sqref="O55">
    <cfRule type="containsText" dxfId="576" priority="232" operator="containsText" text="注意">
      <formula>NOT(ISERROR(SEARCH("注意",O55)))</formula>
    </cfRule>
    <cfRule type="containsText" dxfId="575" priority="233" operator="containsText" text="延期">
      <formula>NOT(ISERROR(SEARCH("延期",O55)))</formula>
    </cfRule>
    <cfRule type="containsText" dxfId="574" priority="234" operator="containsText" text="预警">
      <formula>NOT(ISERROR(SEARCH("预警",O55)))</formula>
    </cfRule>
  </conditionalFormatting>
  <conditionalFormatting sqref="I57">
    <cfRule type="containsText" dxfId="573" priority="229" operator="containsText" text="注意">
      <formula>NOT(ISERROR(SEARCH("注意",I57)))</formula>
    </cfRule>
    <cfRule type="containsText" dxfId="572" priority="230" operator="containsText" text="延期">
      <formula>NOT(ISERROR(SEARCH("延期",I57)))</formula>
    </cfRule>
    <cfRule type="containsText" dxfId="571" priority="231" operator="containsText" text="预警">
      <formula>NOT(ISERROR(SEARCH("预警",I57)))</formula>
    </cfRule>
  </conditionalFormatting>
  <conditionalFormatting sqref="L51">
    <cfRule type="containsText" dxfId="570" priority="226" operator="containsText" text="注意">
      <formula>NOT(ISERROR(SEARCH("注意",L51)))</formula>
    </cfRule>
    <cfRule type="containsText" dxfId="569" priority="227" operator="containsText" text="延期">
      <formula>NOT(ISERROR(SEARCH("延期",L51)))</formula>
    </cfRule>
    <cfRule type="containsText" dxfId="568" priority="228" operator="containsText" text="预警">
      <formula>NOT(ISERROR(SEARCH("预警",L51)))</formula>
    </cfRule>
  </conditionalFormatting>
  <conditionalFormatting sqref="R3">
    <cfRule type="containsText" dxfId="567" priority="223" operator="containsText" text="注意">
      <formula>NOT(ISERROR(SEARCH("注意",R3)))</formula>
    </cfRule>
    <cfRule type="containsText" dxfId="566" priority="224" operator="containsText" text="延期">
      <formula>NOT(ISERROR(SEARCH("延期",R3)))</formula>
    </cfRule>
    <cfRule type="containsText" dxfId="565" priority="225" operator="containsText" text="预警">
      <formula>NOT(ISERROR(SEARCH("预警",R3)))</formula>
    </cfRule>
  </conditionalFormatting>
  <conditionalFormatting sqref="Q3">
    <cfRule type="containsText" dxfId="564" priority="220" operator="containsText" text="注意">
      <formula>NOT(ISERROR(SEARCH("注意",Q3)))</formula>
    </cfRule>
    <cfRule type="containsText" dxfId="563" priority="221" operator="containsText" text="延期">
      <formula>NOT(ISERROR(SEARCH("延期",Q3)))</formula>
    </cfRule>
    <cfRule type="containsText" dxfId="562" priority="222" operator="containsText" text="预警">
      <formula>NOT(ISERROR(SEARCH("预警",Q3)))</formula>
    </cfRule>
  </conditionalFormatting>
  <conditionalFormatting sqref="Q49">
    <cfRule type="containsText" dxfId="561" priority="217" operator="containsText" text="注意">
      <formula>NOT(ISERROR(SEARCH("注意",Q49)))</formula>
    </cfRule>
    <cfRule type="containsText" dxfId="560" priority="218" operator="containsText" text="延期">
      <formula>NOT(ISERROR(SEARCH("延期",Q49)))</formula>
    </cfRule>
    <cfRule type="containsText" dxfId="559" priority="219" operator="containsText" text="预警">
      <formula>NOT(ISERROR(SEARCH("预警",Q49)))</formula>
    </cfRule>
  </conditionalFormatting>
  <conditionalFormatting sqref="S3">
    <cfRule type="containsText" dxfId="558" priority="214" operator="containsText" text="注意">
      <formula>NOT(ISERROR(SEARCH("注意",S3)))</formula>
    </cfRule>
    <cfRule type="containsText" dxfId="557" priority="215" operator="containsText" text="延期">
      <formula>NOT(ISERROR(SEARCH("延期",S3)))</formula>
    </cfRule>
    <cfRule type="containsText" dxfId="556" priority="216" operator="containsText" text="预警">
      <formula>NOT(ISERROR(SEARCH("预警",S3)))</formula>
    </cfRule>
  </conditionalFormatting>
  <conditionalFormatting sqref="R22:S22">
    <cfRule type="containsText" dxfId="555" priority="211" operator="containsText" text="注意">
      <formula>NOT(ISERROR(SEARCH("注意",R22)))</formula>
    </cfRule>
    <cfRule type="containsText" dxfId="554" priority="212" operator="containsText" text="延期">
      <formula>NOT(ISERROR(SEARCH("延期",R22)))</formula>
    </cfRule>
    <cfRule type="containsText" dxfId="553" priority="213" operator="containsText" text="预警">
      <formula>NOT(ISERROR(SEARCH("预警",R22)))</formula>
    </cfRule>
  </conditionalFormatting>
  <conditionalFormatting sqref="J57">
    <cfRule type="containsText" dxfId="552" priority="208" operator="containsText" text="注意">
      <formula>NOT(ISERROR(SEARCH("注意",J57)))</formula>
    </cfRule>
    <cfRule type="containsText" dxfId="551" priority="209" operator="containsText" text="延期">
      <formula>NOT(ISERROR(SEARCH("延期",J57)))</formula>
    </cfRule>
    <cfRule type="containsText" dxfId="550" priority="210" operator="containsText" text="预警">
      <formula>NOT(ISERROR(SEARCH("预警",J57)))</formula>
    </cfRule>
  </conditionalFormatting>
  <conditionalFormatting sqref="K57:L57">
    <cfRule type="containsText" dxfId="549" priority="205" operator="containsText" text="注意">
      <formula>NOT(ISERROR(SEARCH("注意",K57)))</formula>
    </cfRule>
    <cfRule type="containsText" dxfId="548" priority="206" operator="containsText" text="延期">
      <formula>NOT(ISERROR(SEARCH("延期",K57)))</formula>
    </cfRule>
    <cfRule type="containsText" dxfId="547" priority="207" operator="containsText" text="预警">
      <formula>NOT(ISERROR(SEARCH("预警",K57)))</formula>
    </cfRule>
  </conditionalFormatting>
  <conditionalFormatting sqref="L55">
    <cfRule type="containsText" dxfId="546" priority="202" operator="containsText" text="注意">
      <formula>NOT(ISERROR(SEARCH("注意",L55)))</formula>
    </cfRule>
    <cfRule type="containsText" dxfId="545" priority="203" operator="containsText" text="延期">
      <formula>NOT(ISERROR(SEARCH("延期",L55)))</formula>
    </cfRule>
    <cfRule type="containsText" dxfId="544" priority="204" operator="containsText" text="预警">
      <formula>NOT(ISERROR(SEARCH("预警",L55)))</formula>
    </cfRule>
  </conditionalFormatting>
  <conditionalFormatting sqref="Q53">
    <cfRule type="containsText" dxfId="543" priority="199" operator="containsText" text="注意">
      <formula>NOT(ISERROR(SEARCH("注意",Q53)))</formula>
    </cfRule>
    <cfRule type="containsText" dxfId="542" priority="200" operator="containsText" text="延期">
      <formula>NOT(ISERROR(SEARCH("延期",Q53)))</formula>
    </cfRule>
    <cfRule type="containsText" dxfId="541" priority="201" operator="containsText" text="预警">
      <formula>NOT(ISERROR(SEARCH("预警",Q53)))</formula>
    </cfRule>
  </conditionalFormatting>
  <conditionalFormatting sqref="Q55">
    <cfRule type="containsText" dxfId="540" priority="196" operator="containsText" text="注意">
      <formula>NOT(ISERROR(SEARCH("注意",Q55)))</formula>
    </cfRule>
    <cfRule type="containsText" dxfId="539" priority="197" operator="containsText" text="延期">
      <formula>NOT(ISERROR(SEARCH("延期",Q55)))</formula>
    </cfRule>
    <cfRule type="containsText" dxfId="538" priority="198" operator="containsText" text="预警">
      <formula>NOT(ISERROR(SEARCH("预警",Q55)))</formula>
    </cfRule>
  </conditionalFormatting>
  <conditionalFormatting sqref="O51">
    <cfRule type="containsText" dxfId="537" priority="193" operator="containsText" text="注意">
      <formula>NOT(ISERROR(SEARCH("注意",O51)))</formula>
    </cfRule>
    <cfRule type="containsText" dxfId="536" priority="194" operator="containsText" text="延期">
      <formula>NOT(ISERROR(SEARCH("延期",O51)))</formula>
    </cfRule>
    <cfRule type="containsText" dxfId="535" priority="195" operator="containsText" text="预警">
      <formula>NOT(ISERROR(SEARCH("预警",O51)))</formula>
    </cfRule>
  </conditionalFormatting>
  <conditionalFormatting sqref="O57">
    <cfRule type="containsText" dxfId="534" priority="190" operator="containsText" text="注意">
      <formula>NOT(ISERROR(SEARCH("注意",O57)))</formula>
    </cfRule>
    <cfRule type="containsText" dxfId="533" priority="191" operator="containsText" text="延期">
      <formula>NOT(ISERROR(SEARCH("延期",O57)))</formula>
    </cfRule>
    <cfRule type="containsText" dxfId="532" priority="192" operator="containsText" text="预警">
      <formula>NOT(ISERROR(SEARCH("预警",O57)))</formula>
    </cfRule>
  </conditionalFormatting>
  <conditionalFormatting sqref="P33">
    <cfRule type="containsText" dxfId="531" priority="187" operator="containsText" text="注意">
      <formula>NOT(ISERROR(SEARCH("注意",P33)))</formula>
    </cfRule>
    <cfRule type="containsText" dxfId="530" priority="188" operator="containsText" text="延期">
      <formula>NOT(ISERROR(SEARCH("延期",P33)))</formula>
    </cfRule>
    <cfRule type="containsText" dxfId="529" priority="189" operator="containsText" text="预警">
      <formula>NOT(ISERROR(SEARCH("预警",P33)))</formula>
    </cfRule>
  </conditionalFormatting>
  <conditionalFormatting sqref="P47">
    <cfRule type="containsText" dxfId="528" priority="184" operator="containsText" text="注意">
      <formula>NOT(ISERROR(SEARCH("注意",P47)))</formula>
    </cfRule>
    <cfRule type="containsText" dxfId="527" priority="185" operator="containsText" text="延期">
      <formula>NOT(ISERROR(SEARCH("延期",P47)))</formula>
    </cfRule>
    <cfRule type="containsText" dxfId="526" priority="186" operator="containsText" text="预警">
      <formula>NOT(ISERROR(SEARCH("预警",P47)))</formula>
    </cfRule>
  </conditionalFormatting>
  <conditionalFormatting sqref="P69">
    <cfRule type="containsText" dxfId="525" priority="172" operator="containsText" text="注意">
      <formula>NOT(ISERROR(SEARCH("注意",P69)))</formula>
    </cfRule>
    <cfRule type="containsText" dxfId="524" priority="173" operator="containsText" text="延期">
      <formula>NOT(ISERROR(SEARCH("延期",P69)))</formula>
    </cfRule>
    <cfRule type="containsText" dxfId="523" priority="174" operator="containsText" text="预警">
      <formula>NOT(ISERROR(SEARCH("预警",P69)))</formula>
    </cfRule>
  </conditionalFormatting>
  <conditionalFormatting sqref="P71">
    <cfRule type="containsText" dxfId="522" priority="169" operator="containsText" text="注意">
      <formula>NOT(ISERROR(SEARCH("注意",P71)))</formula>
    </cfRule>
    <cfRule type="containsText" dxfId="521" priority="170" operator="containsText" text="延期">
      <formula>NOT(ISERROR(SEARCH("延期",P71)))</formula>
    </cfRule>
    <cfRule type="containsText" dxfId="520" priority="171" operator="containsText" text="预警">
      <formula>NOT(ISERROR(SEARCH("预警",P71)))</formula>
    </cfRule>
  </conditionalFormatting>
  <conditionalFormatting sqref="P7">
    <cfRule type="containsText" dxfId="519" priority="166" operator="containsText" text="注意">
      <formula>NOT(ISERROR(SEARCH("注意",P7)))</formula>
    </cfRule>
    <cfRule type="containsText" dxfId="518" priority="167" operator="containsText" text="延期">
      <formula>NOT(ISERROR(SEARCH("延期",P7)))</formula>
    </cfRule>
    <cfRule type="containsText" dxfId="517" priority="168" operator="containsText" text="预警">
      <formula>NOT(ISERROR(SEARCH("预警",P7)))</formula>
    </cfRule>
  </conditionalFormatting>
  <conditionalFormatting sqref="Q51">
    <cfRule type="containsText" dxfId="516" priority="160" operator="containsText" text="注意">
      <formula>NOT(ISERROR(SEARCH("注意",Q51)))</formula>
    </cfRule>
    <cfRule type="containsText" dxfId="515" priority="161" operator="containsText" text="延期">
      <formula>NOT(ISERROR(SEARCH("延期",Q51)))</formula>
    </cfRule>
    <cfRule type="containsText" dxfId="514" priority="162" operator="containsText" text="预警">
      <formula>NOT(ISERROR(SEARCH("预警",Q51)))</formula>
    </cfRule>
  </conditionalFormatting>
  <conditionalFormatting sqref="L79:T79">
    <cfRule type="containsText" dxfId="513" priority="157" operator="containsText" text="注意">
      <formula>NOT(ISERROR(SEARCH("注意",L79)))</formula>
    </cfRule>
    <cfRule type="containsText" dxfId="512" priority="158" operator="containsText" text="延期">
      <formula>NOT(ISERROR(SEARCH("延期",L79)))</formula>
    </cfRule>
    <cfRule type="containsText" dxfId="511" priority="159" operator="containsText" text="预警">
      <formula>NOT(ISERROR(SEARCH("预警",L79)))</formula>
    </cfRule>
  </conditionalFormatting>
  <conditionalFormatting sqref="P11">
    <cfRule type="containsText" dxfId="510" priority="154" operator="containsText" text="注意">
      <formula>NOT(ISERROR(SEARCH("注意",P11)))</formula>
    </cfRule>
    <cfRule type="containsText" dxfId="509" priority="155" operator="containsText" text="延期">
      <formula>NOT(ISERROR(SEARCH("延期",P11)))</formula>
    </cfRule>
    <cfRule type="containsText" dxfId="508" priority="156" operator="containsText" text="预警">
      <formula>NOT(ISERROR(SEARCH("预警",P11)))</formula>
    </cfRule>
  </conditionalFormatting>
  <conditionalFormatting sqref="P9">
    <cfRule type="containsText" dxfId="507" priority="151" operator="containsText" text="注意">
      <formula>NOT(ISERROR(SEARCH("注意",P9)))</formula>
    </cfRule>
    <cfRule type="containsText" dxfId="506" priority="152" operator="containsText" text="延期">
      <formula>NOT(ISERROR(SEARCH("延期",P9)))</formula>
    </cfRule>
    <cfRule type="containsText" dxfId="505" priority="153" operator="containsText" text="预警">
      <formula>NOT(ISERROR(SEARCH("预警",P9)))</formula>
    </cfRule>
  </conditionalFormatting>
  <conditionalFormatting sqref="P53">
    <cfRule type="containsText" dxfId="504" priority="148" operator="containsText" text="注意">
      <formula>NOT(ISERROR(SEARCH("注意",P53)))</formula>
    </cfRule>
    <cfRule type="containsText" dxfId="503" priority="149" operator="containsText" text="延期">
      <formula>NOT(ISERROR(SEARCH("延期",P53)))</formula>
    </cfRule>
    <cfRule type="containsText" dxfId="502" priority="150" operator="containsText" text="预警">
      <formula>NOT(ISERROR(SEARCH("预警",P53)))</formula>
    </cfRule>
  </conditionalFormatting>
  <conditionalFormatting sqref="P55">
    <cfRule type="containsText" dxfId="501" priority="145" operator="containsText" text="注意">
      <formula>NOT(ISERROR(SEARCH("注意",P55)))</formula>
    </cfRule>
    <cfRule type="containsText" dxfId="500" priority="146" operator="containsText" text="延期">
      <formula>NOT(ISERROR(SEARCH("延期",P55)))</formula>
    </cfRule>
    <cfRule type="containsText" dxfId="499" priority="147" operator="containsText" text="预警">
      <formula>NOT(ISERROR(SEARCH("预警",P55)))</formula>
    </cfRule>
  </conditionalFormatting>
  <conditionalFormatting sqref="P51">
    <cfRule type="containsText" dxfId="498" priority="142" operator="containsText" text="注意">
      <formula>NOT(ISERROR(SEARCH("注意",P51)))</formula>
    </cfRule>
    <cfRule type="containsText" dxfId="497" priority="143" operator="containsText" text="延期">
      <formula>NOT(ISERROR(SEARCH("延期",P51)))</formula>
    </cfRule>
    <cfRule type="containsText" dxfId="496" priority="144" operator="containsText" text="预警">
      <formula>NOT(ISERROR(SEARCH("预警",P51)))</formula>
    </cfRule>
  </conditionalFormatting>
  <conditionalFormatting sqref="P57">
    <cfRule type="containsText" dxfId="495" priority="139" operator="containsText" text="注意">
      <formula>NOT(ISERROR(SEARCH("注意",P57)))</formula>
    </cfRule>
    <cfRule type="containsText" dxfId="494" priority="140" operator="containsText" text="延期">
      <formula>NOT(ISERROR(SEARCH("延期",P57)))</formula>
    </cfRule>
    <cfRule type="containsText" dxfId="493" priority="141" operator="containsText" text="预警">
      <formula>NOT(ISERROR(SEARCH("预警",P57)))</formula>
    </cfRule>
  </conditionalFormatting>
  <conditionalFormatting sqref="G14">
    <cfRule type="containsText" dxfId="492" priority="121" operator="containsText" text="注意">
      <formula>NOT(ISERROR(SEARCH("注意",G14)))</formula>
    </cfRule>
    <cfRule type="containsText" dxfId="491" priority="122" operator="containsText" text="延期">
      <formula>NOT(ISERROR(SEARCH("延期",G14)))</formula>
    </cfRule>
    <cfRule type="containsText" dxfId="490" priority="123" operator="containsText" text="预警">
      <formula>NOT(ISERROR(SEARCH("预警",G14)))</formula>
    </cfRule>
  </conditionalFormatting>
  <conditionalFormatting sqref="P17:Q17">
    <cfRule type="containsText" dxfId="489" priority="136" operator="containsText" text="注意">
      <formula>NOT(ISERROR(SEARCH("注意",P17)))</formula>
    </cfRule>
    <cfRule type="containsText" dxfId="488" priority="137" operator="containsText" text="延期">
      <formula>NOT(ISERROR(SEARCH("延期",P17)))</formula>
    </cfRule>
    <cfRule type="containsText" dxfId="487" priority="138" operator="containsText" text="预警">
      <formula>NOT(ISERROR(SEARCH("预警",P17)))</formula>
    </cfRule>
  </conditionalFormatting>
  <conditionalFormatting sqref="R17:S17">
    <cfRule type="containsText" dxfId="486" priority="133" operator="containsText" text="注意">
      <formula>NOT(ISERROR(SEARCH("注意",R17)))</formula>
    </cfRule>
    <cfRule type="containsText" dxfId="485" priority="134" operator="containsText" text="延期">
      <formula>NOT(ISERROR(SEARCH("延期",R17)))</formula>
    </cfRule>
    <cfRule type="containsText" dxfId="484" priority="135" operator="containsText" text="预警">
      <formula>NOT(ISERROR(SEARCH("预警",R17)))</formula>
    </cfRule>
  </conditionalFormatting>
  <conditionalFormatting sqref="L81:N81 P81:S81">
    <cfRule type="containsText" dxfId="483" priority="130" operator="containsText" text="注意">
      <formula>NOT(ISERROR(SEARCH("注意",L81)))</formula>
    </cfRule>
    <cfRule type="containsText" dxfId="482" priority="131" operator="containsText" text="延期">
      <formula>NOT(ISERROR(SEARCH("延期",L81)))</formula>
    </cfRule>
    <cfRule type="containsText" dxfId="481" priority="132" operator="containsText" text="预警">
      <formula>NOT(ISERROR(SEARCH("预警",L81)))</formula>
    </cfRule>
  </conditionalFormatting>
  <conditionalFormatting sqref="L83:S83">
    <cfRule type="containsText" dxfId="480" priority="127" operator="containsText" text="注意">
      <formula>NOT(ISERROR(SEARCH("注意",L83)))</formula>
    </cfRule>
    <cfRule type="containsText" dxfId="479" priority="128" operator="containsText" text="延期">
      <formula>NOT(ISERROR(SEARCH("延期",L83)))</formula>
    </cfRule>
    <cfRule type="containsText" dxfId="478" priority="129" operator="containsText" text="预警">
      <formula>NOT(ISERROR(SEARCH("预警",L83)))</formula>
    </cfRule>
  </conditionalFormatting>
  <conditionalFormatting sqref="P15">
    <cfRule type="containsText" dxfId="477" priority="124" operator="containsText" text="注意">
      <formula>NOT(ISERROR(SEARCH("注意",P15)))</formula>
    </cfRule>
    <cfRule type="containsText" dxfId="476" priority="125" operator="containsText" text="延期">
      <formula>NOT(ISERROR(SEARCH("延期",P15)))</formula>
    </cfRule>
    <cfRule type="containsText" dxfId="475" priority="126" operator="containsText" text="预警">
      <formula>NOT(ISERROR(SEARCH("预警",P15)))</formula>
    </cfRule>
  </conditionalFormatting>
  <conditionalFormatting sqref="K14">
    <cfRule type="containsText" dxfId="474" priority="118" operator="containsText" text="注意">
      <formula>NOT(ISERROR(SEARCH("注意",K14)))</formula>
    </cfRule>
    <cfRule type="containsText" dxfId="473" priority="119" operator="containsText" text="延期">
      <formula>NOT(ISERROR(SEARCH("延期",K14)))</formula>
    </cfRule>
    <cfRule type="containsText" dxfId="472" priority="120" operator="containsText" text="预警">
      <formula>NOT(ISERROR(SEARCH("预警",K14)))</formula>
    </cfRule>
  </conditionalFormatting>
  <conditionalFormatting sqref="H14:I14">
    <cfRule type="containsText" dxfId="471" priority="115" operator="containsText" text="注意">
      <formula>NOT(ISERROR(SEARCH("注意",H14)))</formula>
    </cfRule>
    <cfRule type="containsText" dxfId="470" priority="116" operator="containsText" text="延期">
      <formula>NOT(ISERROR(SEARCH("延期",H14)))</formula>
    </cfRule>
    <cfRule type="containsText" dxfId="469" priority="117" operator="containsText" text="预警">
      <formula>NOT(ISERROR(SEARCH("预警",H14)))</formula>
    </cfRule>
  </conditionalFormatting>
  <conditionalFormatting sqref="J14">
    <cfRule type="containsText" dxfId="468" priority="112" operator="containsText" text="注意">
      <formula>NOT(ISERROR(SEARCH("注意",J14)))</formula>
    </cfRule>
    <cfRule type="containsText" dxfId="467" priority="113" operator="containsText" text="延期">
      <formula>NOT(ISERROR(SEARCH("延期",J14)))</formula>
    </cfRule>
    <cfRule type="containsText" dxfId="466" priority="114" operator="containsText" text="预警">
      <formula>NOT(ISERROR(SEARCH("预警",J14)))</formula>
    </cfRule>
  </conditionalFormatting>
  <conditionalFormatting sqref="L14">
    <cfRule type="containsText" dxfId="465" priority="109" operator="containsText" text="注意">
      <formula>NOT(ISERROR(SEARCH("注意",L14)))</formula>
    </cfRule>
    <cfRule type="containsText" dxfId="464" priority="110" operator="containsText" text="延期">
      <formula>NOT(ISERROR(SEARCH("延期",L14)))</formula>
    </cfRule>
    <cfRule type="containsText" dxfId="463" priority="111" operator="containsText" text="预警">
      <formula>NOT(ISERROR(SEARCH("预警",L14)))</formula>
    </cfRule>
  </conditionalFormatting>
  <conditionalFormatting sqref="M9:N9">
    <cfRule type="containsText" dxfId="462" priority="106" operator="containsText" text="注意">
      <formula>NOT(ISERROR(SEARCH("注意",M9)))</formula>
    </cfRule>
    <cfRule type="containsText" dxfId="461" priority="107" operator="containsText" text="延期">
      <formula>NOT(ISERROR(SEARCH("延期",M9)))</formula>
    </cfRule>
    <cfRule type="containsText" dxfId="460" priority="108" operator="containsText" text="预警">
      <formula>NOT(ISERROR(SEARCH("预警",M9)))</formula>
    </cfRule>
  </conditionalFormatting>
  <conditionalFormatting sqref="M11:N11">
    <cfRule type="containsText" dxfId="459" priority="103" operator="containsText" text="注意">
      <formula>NOT(ISERROR(SEARCH("注意",M11)))</formula>
    </cfRule>
    <cfRule type="containsText" dxfId="458" priority="104" operator="containsText" text="延期">
      <formula>NOT(ISERROR(SEARCH("延期",M11)))</formula>
    </cfRule>
    <cfRule type="containsText" dxfId="457" priority="105" operator="containsText" text="预警">
      <formula>NOT(ISERROR(SEARCH("预警",M11)))</formula>
    </cfRule>
  </conditionalFormatting>
  <conditionalFormatting sqref="M15:N15">
    <cfRule type="containsText" dxfId="456" priority="100" operator="containsText" text="注意">
      <formula>NOT(ISERROR(SEARCH("注意",M15)))</formula>
    </cfRule>
    <cfRule type="containsText" dxfId="455" priority="101" operator="containsText" text="延期">
      <formula>NOT(ISERROR(SEARCH("延期",M15)))</formula>
    </cfRule>
    <cfRule type="containsText" dxfId="454" priority="102" operator="containsText" text="预警">
      <formula>NOT(ISERROR(SEARCH("预警",M15)))</formula>
    </cfRule>
  </conditionalFormatting>
  <conditionalFormatting sqref="M17:N17">
    <cfRule type="containsText" dxfId="453" priority="97" operator="containsText" text="注意">
      <formula>NOT(ISERROR(SEARCH("注意",M17)))</formula>
    </cfRule>
    <cfRule type="containsText" dxfId="452" priority="98" operator="containsText" text="延期">
      <formula>NOT(ISERROR(SEARCH("延期",M17)))</formula>
    </cfRule>
    <cfRule type="containsText" dxfId="451" priority="99" operator="containsText" text="预警">
      <formula>NOT(ISERROR(SEARCH("预警",M17)))</formula>
    </cfRule>
  </conditionalFormatting>
  <conditionalFormatting sqref="M19:N19">
    <cfRule type="containsText" dxfId="450" priority="94" operator="containsText" text="注意">
      <formula>NOT(ISERROR(SEARCH("注意",M19)))</formula>
    </cfRule>
    <cfRule type="containsText" dxfId="449" priority="95" operator="containsText" text="延期">
      <formula>NOT(ISERROR(SEARCH("延期",M19)))</formula>
    </cfRule>
    <cfRule type="containsText" dxfId="448" priority="96" operator="containsText" text="预警">
      <formula>NOT(ISERROR(SEARCH("预警",M19)))</formula>
    </cfRule>
  </conditionalFormatting>
  <conditionalFormatting sqref="M23:N23">
    <cfRule type="containsText" dxfId="447" priority="91" operator="containsText" text="注意">
      <formula>NOT(ISERROR(SEARCH("注意",M23)))</formula>
    </cfRule>
    <cfRule type="containsText" dxfId="446" priority="92" operator="containsText" text="延期">
      <formula>NOT(ISERROR(SEARCH("延期",M23)))</formula>
    </cfRule>
    <cfRule type="containsText" dxfId="445" priority="93" operator="containsText" text="预警">
      <formula>NOT(ISERROR(SEARCH("预警",M23)))</formula>
    </cfRule>
  </conditionalFormatting>
  <conditionalFormatting sqref="M25:N25">
    <cfRule type="containsText" dxfId="444" priority="88" operator="containsText" text="注意">
      <formula>NOT(ISERROR(SEARCH("注意",M25)))</formula>
    </cfRule>
    <cfRule type="containsText" dxfId="443" priority="89" operator="containsText" text="延期">
      <formula>NOT(ISERROR(SEARCH("延期",M25)))</formula>
    </cfRule>
    <cfRule type="containsText" dxfId="442" priority="90" operator="containsText" text="预警">
      <formula>NOT(ISERROR(SEARCH("预警",M25)))</formula>
    </cfRule>
  </conditionalFormatting>
  <conditionalFormatting sqref="M27:N27">
    <cfRule type="containsText" dxfId="441" priority="85" operator="containsText" text="注意">
      <formula>NOT(ISERROR(SEARCH("注意",M27)))</formula>
    </cfRule>
    <cfRule type="containsText" dxfId="440" priority="86" operator="containsText" text="延期">
      <formula>NOT(ISERROR(SEARCH("延期",M27)))</formula>
    </cfRule>
    <cfRule type="containsText" dxfId="439" priority="87" operator="containsText" text="预警">
      <formula>NOT(ISERROR(SEARCH("预警",M27)))</formula>
    </cfRule>
  </conditionalFormatting>
  <conditionalFormatting sqref="M29:N29">
    <cfRule type="containsText" dxfId="438" priority="82" operator="containsText" text="注意">
      <formula>NOT(ISERROR(SEARCH("注意",M29)))</formula>
    </cfRule>
    <cfRule type="containsText" dxfId="437" priority="83" operator="containsText" text="延期">
      <formula>NOT(ISERROR(SEARCH("延期",M29)))</formula>
    </cfRule>
    <cfRule type="containsText" dxfId="436" priority="84" operator="containsText" text="预警">
      <formula>NOT(ISERROR(SEARCH("预警",M29)))</formula>
    </cfRule>
  </conditionalFormatting>
  <conditionalFormatting sqref="M31:N31">
    <cfRule type="containsText" dxfId="435" priority="79" operator="containsText" text="注意">
      <formula>NOT(ISERROR(SEARCH("注意",M31)))</formula>
    </cfRule>
    <cfRule type="containsText" dxfId="434" priority="80" operator="containsText" text="延期">
      <formula>NOT(ISERROR(SEARCH("延期",M31)))</formula>
    </cfRule>
    <cfRule type="containsText" dxfId="433" priority="81" operator="containsText" text="预警">
      <formula>NOT(ISERROR(SEARCH("预警",M31)))</formula>
    </cfRule>
  </conditionalFormatting>
  <conditionalFormatting sqref="M33:N33">
    <cfRule type="containsText" dxfId="432" priority="76" operator="containsText" text="注意">
      <formula>NOT(ISERROR(SEARCH("注意",M33)))</formula>
    </cfRule>
    <cfRule type="containsText" dxfId="431" priority="77" operator="containsText" text="延期">
      <formula>NOT(ISERROR(SEARCH("延期",M33)))</formula>
    </cfRule>
    <cfRule type="containsText" dxfId="430" priority="78" operator="containsText" text="预警">
      <formula>NOT(ISERROR(SEARCH("预警",M33)))</formula>
    </cfRule>
  </conditionalFormatting>
  <conditionalFormatting sqref="M35:N35">
    <cfRule type="containsText" dxfId="429" priority="73" operator="containsText" text="注意">
      <formula>NOT(ISERROR(SEARCH("注意",M35)))</formula>
    </cfRule>
    <cfRule type="containsText" dxfId="428" priority="74" operator="containsText" text="延期">
      <formula>NOT(ISERROR(SEARCH("延期",M35)))</formula>
    </cfRule>
    <cfRule type="containsText" dxfId="427" priority="75" operator="containsText" text="预警">
      <formula>NOT(ISERROR(SEARCH("预警",M35)))</formula>
    </cfRule>
  </conditionalFormatting>
  <conditionalFormatting sqref="M45:N45">
    <cfRule type="containsText" dxfId="426" priority="70" operator="containsText" text="注意">
      <formula>NOT(ISERROR(SEARCH("注意",M45)))</formula>
    </cfRule>
    <cfRule type="containsText" dxfId="425" priority="71" operator="containsText" text="延期">
      <formula>NOT(ISERROR(SEARCH("延期",M45)))</formula>
    </cfRule>
    <cfRule type="containsText" dxfId="424" priority="72" operator="containsText" text="预警">
      <formula>NOT(ISERROR(SEARCH("预警",M45)))</formula>
    </cfRule>
  </conditionalFormatting>
  <conditionalFormatting sqref="M47:N47">
    <cfRule type="containsText" dxfId="423" priority="67" operator="containsText" text="注意">
      <formula>NOT(ISERROR(SEARCH("注意",M47)))</formula>
    </cfRule>
    <cfRule type="containsText" dxfId="422" priority="68" operator="containsText" text="延期">
      <formula>NOT(ISERROR(SEARCH("延期",M47)))</formula>
    </cfRule>
    <cfRule type="containsText" dxfId="421" priority="69" operator="containsText" text="预警">
      <formula>NOT(ISERROR(SEARCH("预警",M47)))</formula>
    </cfRule>
  </conditionalFormatting>
  <conditionalFormatting sqref="L73:N73 P73:T73">
    <cfRule type="containsText" dxfId="420" priority="64" operator="containsText" text="注意">
      <formula>NOT(ISERROR(SEARCH("注意",L73)))</formula>
    </cfRule>
    <cfRule type="containsText" dxfId="419" priority="65" operator="containsText" text="延期">
      <formula>NOT(ISERROR(SEARCH("延期",L73)))</formula>
    </cfRule>
    <cfRule type="containsText" dxfId="418" priority="66" operator="containsText" text="预警">
      <formula>NOT(ISERROR(SEARCH("预警",L73)))</formula>
    </cfRule>
  </conditionalFormatting>
  <conditionalFormatting sqref="Q57">
    <cfRule type="containsText" dxfId="417" priority="61" operator="containsText" text="注意">
      <formula>NOT(ISERROR(SEARCH("注意",Q57)))</formula>
    </cfRule>
    <cfRule type="containsText" dxfId="416" priority="62" operator="containsText" text="延期">
      <formula>NOT(ISERROR(SEARCH("延期",Q57)))</formula>
    </cfRule>
    <cfRule type="containsText" dxfId="415" priority="63" operator="containsText" text="预警">
      <formula>NOT(ISERROR(SEARCH("预警",Q57)))</formula>
    </cfRule>
  </conditionalFormatting>
  <conditionalFormatting sqref="Q89">
    <cfRule type="containsText" dxfId="414" priority="58" operator="containsText" text="注意">
      <formula>NOT(ISERROR(SEARCH("注意",Q89)))</formula>
    </cfRule>
    <cfRule type="containsText" dxfId="413" priority="59" operator="containsText" text="延期">
      <formula>NOT(ISERROR(SEARCH("延期",Q89)))</formula>
    </cfRule>
    <cfRule type="containsText" dxfId="412" priority="60" operator="containsText" text="预警">
      <formula>NOT(ISERROR(SEARCH("预警",Q89)))</formula>
    </cfRule>
  </conditionalFormatting>
  <conditionalFormatting sqref="H85:T85">
    <cfRule type="containsText" dxfId="411" priority="55" operator="containsText" text="注意">
      <formula>NOT(ISERROR(SEARCH("注意",H85)))</formula>
    </cfRule>
    <cfRule type="containsText" dxfId="410" priority="56" operator="containsText" text="延期">
      <formula>NOT(ISERROR(SEARCH("延期",H85)))</formula>
    </cfRule>
    <cfRule type="containsText" dxfId="409" priority="57" operator="containsText" text="预警">
      <formula>NOT(ISERROR(SEARCH("预警",H85)))</formula>
    </cfRule>
  </conditionalFormatting>
  <conditionalFormatting sqref="H87:T87">
    <cfRule type="containsText" dxfId="408" priority="52" operator="containsText" text="注意">
      <formula>NOT(ISERROR(SEARCH("注意",H87)))</formula>
    </cfRule>
    <cfRule type="containsText" dxfId="407" priority="53" operator="containsText" text="延期">
      <formula>NOT(ISERROR(SEARCH("延期",H87)))</formula>
    </cfRule>
    <cfRule type="containsText" dxfId="406" priority="54" operator="containsText" text="预警">
      <formula>NOT(ISERROR(SEARCH("预警",H87)))</formula>
    </cfRule>
  </conditionalFormatting>
  <conditionalFormatting sqref="K79">
    <cfRule type="containsText" dxfId="405" priority="49" operator="containsText" text="注意">
      <formula>NOT(ISERROR(SEARCH("注意",K79)))</formula>
    </cfRule>
    <cfRule type="containsText" dxfId="404" priority="50" operator="containsText" text="延期">
      <formula>NOT(ISERROR(SEARCH("延期",K79)))</formula>
    </cfRule>
    <cfRule type="containsText" dxfId="403" priority="51" operator="containsText" text="预警">
      <formula>NOT(ISERROR(SEARCH("预警",K79)))</formula>
    </cfRule>
  </conditionalFormatting>
  <conditionalFormatting sqref="K81">
    <cfRule type="containsText" dxfId="402" priority="46" operator="containsText" text="注意">
      <formula>NOT(ISERROR(SEARCH("注意",K81)))</formula>
    </cfRule>
    <cfRule type="containsText" dxfId="401" priority="47" operator="containsText" text="延期">
      <formula>NOT(ISERROR(SEARCH("延期",K81)))</formula>
    </cfRule>
    <cfRule type="containsText" dxfId="400" priority="48" operator="containsText" text="预警">
      <formula>NOT(ISERROR(SEARCH("预警",K81)))</formula>
    </cfRule>
  </conditionalFormatting>
  <conditionalFormatting sqref="K83">
    <cfRule type="containsText" dxfId="399" priority="43" operator="containsText" text="注意">
      <formula>NOT(ISERROR(SEARCH("注意",K83)))</formula>
    </cfRule>
    <cfRule type="containsText" dxfId="398" priority="44" operator="containsText" text="延期">
      <formula>NOT(ISERROR(SEARCH("延期",K83)))</formula>
    </cfRule>
    <cfRule type="containsText" dxfId="397" priority="45" operator="containsText" text="预警">
      <formula>NOT(ISERROR(SEARCH("预警",K83)))</formula>
    </cfRule>
  </conditionalFormatting>
  <conditionalFormatting sqref="G91:T91">
    <cfRule type="containsText" dxfId="396" priority="40" operator="containsText" text="注意">
      <formula>NOT(ISERROR(SEARCH("注意",G91)))</formula>
    </cfRule>
    <cfRule type="containsText" dxfId="395" priority="41" operator="containsText" text="延期">
      <formula>NOT(ISERROR(SEARCH("延期",G91)))</formula>
    </cfRule>
    <cfRule type="containsText" dxfId="394" priority="42" operator="containsText" text="预警">
      <formula>NOT(ISERROR(SEARCH("预警",G91)))</formula>
    </cfRule>
  </conditionalFormatting>
  <conditionalFormatting sqref="I93:J93 L93:O93">
    <cfRule type="containsText" dxfId="393" priority="37" operator="containsText" text="注意">
      <formula>NOT(ISERROR(SEARCH("注意",I93)))</formula>
    </cfRule>
    <cfRule type="containsText" dxfId="392" priority="38" operator="containsText" text="延期">
      <formula>NOT(ISERROR(SEARCH("延期",I93)))</formula>
    </cfRule>
    <cfRule type="containsText" dxfId="391" priority="39" operator="containsText" text="预警">
      <formula>NOT(ISERROR(SEARCH("预警",I93)))</formula>
    </cfRule>
  </conditionalFormatting>
  <conditionalFormatting sqref="Q93">
    <cfRule type="containsText" dxfId="390" priority="34" operator="containsText" text="注意">
      <formula>NOT(ISERROR(SEARCH("注意",Q93)))</formula>
    </cfRule>
    <cfRule type="containsText" dxfId="389" priority="35" operator="containsText" text="延期">
      <formula>NOT(ISERROR(SEARCH("延期",Q93)))</formula>
    </cfRule>
    <cfRule type="containsText" dxfId="388" priority="36" operator="containsText" text="预警">
      <formula>NOT(ISERROR(SEARCH("预警",Q93)))</formula>
    </cfRule>
  </conditionalFormatting>
  <conditionalFormatting sqref="J19">
    <cfRule type="containsText" dxfId="387" priority="31" operator="containsText" text="注意">
      <formula>NOT(ISERROR(SEARCH("注意",J19)))</formula>
    </cfRule>
    <cfRule type="containsText" dxfId="386" priority="32" operator="containsText" text="延期">
      <formula>NOT(ISERROR(SEARCH("延期",J19)))</formula>
    </cfRule>
    <cfRule type="containsText" dxfId="385" priority="33" operator="containsText" text="预警">
      <formula>NOT(ISERROR(SEARCH("预警",J19)))</formula>
    </cfRule>
  </conditionalFormatting>
  <conditionalFormatting sqref="O19">
    <cfRule type="containsText" dxfId="384" priority="28" operator="containsText" text="注意">
      <formula>NOT(ISERROR(SEARCH("注意",O19)))</formula>
    </cfRule>
    <cfRule type="containsText" dxfId="383" priority="29" operator="containsText" text="延期">
      <formula>NOT(ISERROR(SEARCH("延期",O19)))</formula>
    </cfRule>
    <cfRule type="containsText" dxfId="382" priority="30" operator="containsText" text="预警">
      <formula>NOT(ISERROR(SEARCH("预警",O19)))</formula>
    </cfRule>
  </conditionalFormatting>
  <conditionalFormatting sqref="Q19:T19">
    <cfRule type="containsText" dxfId="381" priority="25" operator="containsText" text="注意">
      <formula>NOT(ISERROR(SEARCH("注意",Q19)))</formula>
    </cfRule>
    <cfRule type="containsText" dxfId="380" priority="26" operator="containsText" text="延期">
      <formula>NOT(ISERROR(SEARCH("延期",Q19)))</formula>
    </cfRule>
    <cfRule type="containsText" dxfId="379" priority="27" operator="containsText" text="预警">
      <formula>NOT(ISERROR(SEARCH("预警",Q19)))</formula>
    </cfRule>
  </conditionalFormatting>
  <conditionalFormatting sqref="J11">
    <cfRule type="containsText" dxfId="378" priority="19" operator="containsText" text="注意">
      <formula>NOT(ISERROR(SEARCH("注意",J11)))</formula>
    </cfRule>
    <cfRule type="containsText" dxfId="377" priority="20" operator="containsText" text="延期">
      <formula>NOT(ISERROR(SEARCH("延期",J11)))</formula>
    </cfRule>
    <cfRule type="containsText" dxfId="376" priority="21" operator="containsText" text="预警">
      <formula>NOT(ISERROR(SEARCH("预警",J11)))</formula>
    </cfRule>
  </conditionalFormatting>
  <conditionalFormatting sqref="J9">
    <cfRule type="containsText" dxfId="375" priority="22" operator="containsText" text="注意">
      <formula>NOT(ISERROR(SEARCH("注意",J9)))</formula>
    </cfRule>
    <cfRule type="containsText" dxfId="374" priority="23" operator="containsText" text="延期">
      <formula>NOT(ISERROR(SEARCH("延期",J9)))</formula>
    </cfRule>
    <cfRule type="containsText" dxfId="373" priority="24" operator="containsText" text="预警">
      <formula>NOT(ISERROR(SEARCH("预警",J9)))</formula>
    </cfRule>
  </conditionalFormatting>
  <conditionalFormatting sqref="O65">
    <cfRule type="containsText" dxfId="372" priority="4" operator="containsText" text="注意">
      <formula>NOT(ISERROR(SEARCH("注意",O65)))</formula>
    </cfRule>
    <cfRule type="containsText" dxfId="371" priority="5" operator="containsText" text="延期">
      <formula>NOT(ISERROR(SEARCH("延期",O65)))</formula>
    </cfRule>
    <cfRule type="containsText" dxfId="370" priority="6" operator="containsText" text="预警">
      <formula>NOT(ISERROR(SEARCH("预警",O65)))</formula>
    </cfRule>
  </conditionalFormatting>
  <conditionalFormatting sqref="O81">
    <cfRule type="containsText" dxfId="369" priority="1" operator="containsText" text="注意">
      <formula>NOT(ISERROR(SEARCH("注意",O81)))</formula>
    </cfRule>
    <cfRule type="containsText" dxfId="368" priority="2" operator="containsText" text="延期">
      <formula>NOT(ISERROR(SEARCH("延期",O81)))</formula>
    </cfRule>
    <cfRule type="containsText" dxfId="367" priority="3" operator="containsText" text="预警">
      <formula>NOT(ISERROR(SEARCH("预警",O81)))</formula>
    </cfRule>
  </conditionalFormatting>
  <dataValidations count="1">
    <dataValidation type="list" allowBlank="1" showInputMessage="1" showErrorMessage="1" sqref="E1:E1048576">
      <formula1>"设计开发,采购打样,调试,测试,客户样机,资料移交,试产"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12"/>
  <sheetViews>
    <sheetView workbookViewId="0">
      <pane ySplit="1" topLeftCell="A74" activePane="bottomLeft" state="frozen"/>
      <selection pane="bottomLeft" activeCell="Y83" sqref="Y83"/>
    </sheetView>
  </sheetViews>
  <sheetFormatPr defaultRowHeight="13.5" x14ac:dyDescent="0.15"/>
  <cols>
    <col min="2" max="2" width="10.75" customWidth="1"/>
    <col min="4" max="4" width="10.5" customWidth="1"/>
  </cols>
  <sheetData>
    <row r="1" spans="1:24" ht="14.25" thickBot="1" x14ac:dyDescent="0.2">
      <c r="A1" s="56" t="s">
        <v>0</v>
      </c>
      <c r="B1" s="57" t="s">
        <v>200</v>
      </c>
      <c r="C1" s="57" t="s">
        <v>189</v>
      </c>
      <c r="D1" s="2" t="s">
        <v>201</v>
      </c>
      <c r="E1" s="2" t="s">
        <v>2</v>
      </c>
      <c r="F1" s="2" t="s">
        <v>171</v>
      </c>
      <c r="G1" s="2" t="s">
        <v>172</v>
      </c>
      <c r="H1" s="2" t="s">
        <v>173</v>
      </c>
      <c r="I1" s="2" t="s">
        <v>174</v>
      </c>
      <c r="J1" s="2" t="s">
        <v>175</v>
      </c>
      <c r="K1" s="2" t="s">
        <v>3</v>
      </c>
      <c r="L1" s="2" t="s">
        <v>4</v>
      </c>
      <c r="M1" s="2" t="s">
        <v>7</v>
      </c>
      <c r="N1" s="2" t="s">
        <v>202</v>
      </c>
      <c r="O1" s="2" t="s">
        <v>8</v>
      </c>
      <c r="P1" s="2" t="s">
        <v>6</v>
      </c>
      <c r="Q1" s="2" t="s">
        <v>9</v>
      </c>
      <c r="R1" s="2" t="s">
        <v>5</v>
      </c>
      <c r="S1" s="3" t="s">
        <v>190</v>
      </c>
      <c r="T1" s="58" t="s">
        <v>203</v>
      </c>
      <c r="U1" s="55" t="s">
        <v>204</v>
      </c>
      <c r="V1" s="55" t="s">
        <v>205</v>
      </c>
      <c r="W1" s="1"/>
      <c r="X1" s="38"/>
    </row>
    <row r="2" spans="1:24" ht="20.25" x14ac:dyDescent="0.15">
      <c r="A2" s="117" t="s">
        <v>121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8"/>
      <c r="T2" s="58"/>
      <c r="U2" s="55"/>
      <c r="V2" s="55"/>
      <c r="W2" s="1"/>
      <c r="X2" s="38"/>
    </row>
    <row r="3" spans="1:24" ht="24" customHeight="1" x14ac:dyDescent="0.15">
      <c r="A3" s="90">
        <v>1</v>
      </c>
      <c r="B3" s="110" t="s">
        <v>206</v>
      </c>
      <c r="C3" s="109" t="s">
        <v>207</v>
      </c>
      <c r="D3" s="94">
        <v>42730</v>
      </c>
      <c r="E3" s="41">
        <v>43095</v>
      </c>
      <c r="F3" s="41">
        <v>42733</v>
      </c>
      <c r="G3" s="41">
        <v>42745</v>
      </c>
      <c r="H3" s="41">
        <v>42751</v>
      </c>
      <c r="I3" s="41">
        <v>42733</v>
      </c>
      <c r="J3" s="41">
        <v>42776</v>
      </c>
      <c r="K3" s="41">
        <v>42733</v>
      </c>
      <c r="L3" s="41">
        <v>42776</v>
      </c>
      <c r="M3" s="41">
        <v>42776</v>
      </c>
      <c r="N3" s="41">
        <v>42797</v>
      </c>
      <c r="O3" s="41" t="s">
        <v>104</v>
      </c>
      <c r="P3" s="41">
        <v>42733</v>
      </c>
      <c r="Q3" s="41">
        <v>42793</v>
      </c>
      <c r="R3" s="96" t="s">
        <v>208</v>
      </c>
      <c r="S3" s="96"/>
      <c r="T3" s="59"/>
      <c r="U3" s="59"/>
      <c r="V3" s="59"/>
      <c r="W3" s="38"/>
      <c r="X3" s="38"/>
    </row>
    <row r="4" spans="1:24" ht="24" customHeight="1" x14ac:dyDescent="0.15">
      <c r="A4" s="90"/>
      <c r="B4" s="110"/>
      <c r="C4" s="108"/>
      <c r="D4" s="95"/>
      <c r="E4" s="41">
        <v>43095</v>
      </c>
      <c r="F4" s="41">
        <v>42733</v>
      </c>
      <c r="G4" s="41">
        <v>42745</v>
      </c>
      <c r="H4" s="41">
        <v>42751</v>
      </c>
      <c r="I4" s="41">
        <v>42733</v>
      </c>
      <c r="J4" s="41">
        <v>42776</v>
      </c>
      <c r="K4" s="41">
        <v>42733</v>
      </c>
      <c r="L4" s="41">
        <v>42776</v>
      </c>
      <c r="M4" s="41">
        <v>42776</v>
      </c>
      <c r="N4" s="41">
        <v>42797</v>
      </c>
      <c r="O4" s="41" t="s">
        <v>104</v>
      </c>
      <c r="P4" s="41">
        <v>42733</v>
      </c>
      <c r="Q4" s="41">
        <v>42802</v>
      </c>
      <c r="R4" s="97"/>
      <c r="S4" s="97"/>
      <c r="T4" s="59"/>
      <c r="U4" s="59"/>
      <c r="V4" s="59"/>
      <c r="W4" s="38"/>
      <c r="X4" s="38"/>
    </row>
    <row r="5" spans="1:24" ht="26.25" customHeight="1" x14ac:dyDescent="0.15">
      <c r="A5" s="90">
        <v>2</v>
      </c>
      <c r="B5" s="116" t="s">
        <v>209</v>
      </c>
      <c r="C5" s="109" t="s">
        <v>207</v>
      </c>
      <c r="D5" s="94">
        <v>42570</v>
      </c>
      <c r="E5" s="41">
        <v>42639</v>
      </c>
      <c r="F5" s="41">
        <v>42657</v>
      </c>
      <c r="G5" s="41">
        <v>42664</v>
      </c>
      <c r="H5" s="41">
        <v>42670</v>
      </c>
      <c r="I5" s="41">
        <v>42677</v>
      </c>
      <c r="J5" s="41">
        <v>42688</v>
      </c>
      <c r="K5" s="41">
        <v>42675</v>
      </c>
      <c r="L5" s="41">
        <v>42682</v>
      </c>
      <c r="M5" s="41">
        <v>42614</v>
      </c>
      <c r="N5" s="41">
        <v>42699</v>
      </c>
      <c r="O5" s="41">
        <v>42719</v>
      </c>
      <c r="P5" s="41">
        <v>42693</v>
      </c>
      <c r="Q5" s="41">
        <v>42803</v>
      </c>
      <c r="R5" s="96" t="s">
        <v>210</v>
      </c>
      <c r="S5" s="96" t="s">
        <v>211</v>
      </c>
      <c r="T5" s="59"/>
      <c r="U5" s="59"/>
      <c r="V5" s="59"/>
      <c r="W5" s="38"/>
      <c r="X5" s="38"/>
    </row>
    <row r="6" spans="1:24" ht="26.25" customHeight="1" x14ac:dyDescent="0.15">
      <c r="A6" s="90"/>
      <c r="B6" s="116"/>
      <c r="C6" s="108"/>
      <c r="D6" s="95"/>
      <c r="E6" s="41">
        <v>42639</v>
      </c>
      <c r="F6" s="41">
        <v>42657</v>
      </c>
      <c r="G6" s="41">
        <v>42664</v>
      </c>
      <c r="H6" s="41">
        <v>42670</v>
      </c>
      <c r="I6" s="41">
        <v>42677</v>
      </c>
      <c r="J6" s="41">
        <v>42688</v>
      </c>
      <c r="K6" s="41">
        <v>42675</v>
      </c>
      <c r="L6" s="41">
        <v>42682</v>
      </c>
      <c r="M6" s="41">
        <v>42626</v>
      </c>
      <c r="N6" s="41">
        <v>42690</v>
      </c>
      <c r="O6" s="41">
        <v>42719</v>
      </c>
      <c r="P6" s="41">
        <v>42693</v>
      </c>
      <c r="Q6" s="41">
        <v>42804</v>
      </c>
      <c r="R6" s="97"/>
      <c r="S6" s="97"/>
      <c r="T6" s="59"/>
      <c r="U6" s="59"/>
      <c r="V6" s="59"/>
      <c r="W6" s="38"/>
      <c r="X6" s="38"/>
    </row>
    <row r="7" spans="1:24" ht="24.75" customHeight="1" x14ac:dyDescent="0.15">
      <c r="A7" s="90">
        <v>3</v>
      </c>
      <c r="B7" s="110" t="s">
        <v>212</v>
      </c>
      <c r="C7" s="109" t="s">
        <v>207</v>
      </c>
      <c r="D7" s="94">
        <v>42191</v>
      </c>
      <c r="E7" s="41" t="s">
        <v>104</v>
      </c>
      <c r="F7" s="41" t="s">
        <v>104</v>
      </c>
      <c r="G7" s="41" t="s">
        <v>104</v>
      </c>
      <c r="H7" s="41" t="s">
        <v>104</v>
      </c>
      <c r="I7" s="41" t="s">
        <v>104</v>
      </c>
      <c r="J7" s="41" t="s">
        <v>104</v>
      </c>
      <c r="K7" s="41" t="s">
        <v>104</v>
      </c>
      <c r="L7" s="41" t="s">
        <v>104</v>
      </c>
      <c r="M7" s="41" t="s">
        <v>104</v>
      </c>
      <c r="N7" s="41" t="s">
        <v>104</v>
      </c>
      <c r="O7" s="41" t="s">
        <v>104</v>
      </c>
      <c r="P7" s="41" t="s">
        <v>104</v>
      </c>
      <c r="Q7" s="41">
        <v>42786</v>
      </c>
      <c r="R7" s="96" t="s">
        <v>213</v>
      </c>
      <c r="S7" s="96" t="s">
        <v>214</v>
      </c>
      <c r="T7" s="38"/>
      <c r="U7" s="38"/>
    </row>
    <row r="8" spans="1:24" ht="24.75" customHeight="1" x14ac:dyDescent="0.15">
      <c r="A8" s="90"/>
      <c r="B8" s="110"/>
      <c r="C8" s="108"/>
      <c r="D8" s="95"/>
      <c r="E8" s="41" t="s">
        <v>104</v>
      </c>
      <c r="F8" s="41" t="s">
        <v>104</v>
      </c>
      <c r="G8" s="41" t="s">
        <v>104</v>
      </c>
      <c r="H8" s="41" t="s">
        <v>104</v>
      </c>
      <c r="I8" s="41" t="s">
        <v>104</v>
      </c>
      <c r="J8" s="41" t="s">
        <v>104</v>
      </c>
      <c r="K8" s="41" t="s">
        <v>104</v>
      </c>
      <c r="L8" s="41" t="s">
        <v>104</v>
      </c>
      <c r="M8" s="41" t="s">
        <v>104</v>
      </c>
      <c r="N8" s="41" t="s">
        <v>104</v>
      </c>
      <c r="O8" s="41" t="s">
        <v>104</v>
      </c>
      <c r="P8" s="41" t="s">
        <v>104</v>
      </c>
      <c r="Q8" s="41">
        <v>42821</v>
      </c>
      <c r="R8" s="106"/>
      <c r="S8" s="97"/>
      <c r="T8" s="38"/>
      <c r="U8" s="38"/>
    </row>
    <row r="9" spans="1:24" ht="22.5" customHeight="1" x14ac:dyDescent="0.15">
      <c r="A9" s="90">
        <v>4</v>
      </c>
      <c r="B9" s="110" t="s">
        <v>215</v>
      </c>
      <c r="C9" s="109" t="s">
        <v>207</v>
      </c>
      <c r="D9" s="94">
        <v>42191</v>
      </c>
      <c r="E9" s="41" t="s">
        <v>104</v>
      </c>
      <c r="F9" s="41" t="s">
        <v>104</v>
      </c>
      <c r="G9" s="41" t="s">
        <v>104</v>
      </c>
      <c r="H9" s="41" t="s">
        <v>104</v>
      </c>
      <c r="I9" s="41" t="s">
        <v>104</v>
      </c>
      <c r="J9" s="41" t="s">
        <v>104</v>
      </c>
      <c r="K9" s="41" t="s">
        <v>104</v>
      </c>
      <c r="L9" s="41" t="s">
        <v>104</v>
      </c>
      <c r="M9" s="41" t="s">
        <v>104</v>
      </c>
      <c r="N9" s="41" t="s">
        <v>104</v>
      </c>
      <c r="O9" s="41" t="s">
        <v>104</v>
      </c>
      <c r="P9" s="41" t="s">
        <v>104</v>
      </c>
      <c r="Q9" s="41">
        <v>42786</v>
      </c>
      <c r="R9" s="106"/>
      <c r="S9" s="96" t="s">
        <v>214</v>
      </c>
      <c r="T9" s="38"/>
      <c r="U9" s="38"/>
    </row>
    <row r="10" spans="1:24" ht="22.5" customHeight="1" x14ac:dyDescent="0.15">
      <c r="A10" s="90"/>
      <c r="B10" s="110"/>
      <c r="C10" s="108"/>
      <c r="D10" s="95"/>
      <c r="E10" s="41" t="s">
        <v>104</v>
      </c>
      <c r="F10" s="41" t="s">
        <v>104</v>
      </c>
      <c r="G10" s="41" t="s">
        <v>104</v>
      </c>
      <c r="H10" s="41" t="s">
        <v>104</v>
      </c>
      <c r="I10" s="41" t="s">
        <v>104</v>
      </c>
      <c r="J10" s="41" t="s">
        <v>104</v>
      </c>
      <c r="K10" s="41" t="s">
        <v>104</v>
      </c>
      <c r="L10" s="41" t="s">
        <v>104</v>
      </c>
      <c r="M10" s="41" t="s">
        <v>104</v>
      </c>
      <c r="N10" s="41" t="s">
        <v>104</v>
      </c>
      <c r="O10" s="41" t="s">
        <v>104</v>
      </c>
      <c r="P10" s="41" t="s">
        <v>104</v>
      </c>
      <c r="Q10" s="41">
        <v>42821</v>
      </c>
      <c r="R10" s="106"/>
      <c r="S10" s="97"/>
      <c r="T10" s="38"/>
      <c r="U10" s="38"/>
    </row>
    <row r="11" spans="1:24" ht="15" customHeight="1" x14ac:dyDescent="0.15">
      <c r="A11" s="90">
        <v>5</v>
      </c>
      <c r="B11" s="109" t="s">
        <v>216</v>
      </c>
      <c r="C11" s="109" t="s">
        <v>207</v>
      </c>
      <c r="D11" s="94">
        <v>42191</v>
      </c>
      <c r="E11" s="41" t="s">
        <v>104</v>
      </c>
      <c r="F11" s="41" t="s">
        <v>104</v>
      </c>
      <c r="G11" s="41" t="s">
        <v>104</v>
      </c>
      <c r="H11" s="41" t="s">
        <v>104</v>
      </c>
      <c r="I11" s="41" t="s">
        <v>104</v>
      </c>
      <c r="J11" s="41" t="s">
        <v>104</v>
      </c>
      <c r="K11" s="41" t="s">
        <v>104</v>
      </c>
      <c r="L11" s="41" t="s">
        <v>104</v>
      </c>
      <c r="M11" s="41" t="s">
        <v>104</v>
      </c>
      <c r="N11" s="41" t="s">
        <v>104</v>
      </c>
      <c r="O11" s="41" t="s">
        <v>104</v>
      </c>
      <c r="P11" s="41" t="s">
        <v>104</v>
      </c>
      <c r="Q11" s="41">
        <v>42786</v>
      </c>
      <c r="R11" s="106"/>
      <c r="S11" s="96" t="s">
        <v>217</v>
      </c>
      <c r="T11" s="38"/>
      <c r="U11" s="38"/>
    </row>
    <row r="12" spans="1:24" ht="15" customHeight="1" x14ac:dyDescent="0.15">
      <c r="A12" s="90"/>
      <c r="B12" s="108"/>
      <c r="C12" s="108"/>
      <c r="D12" s="95"/>
      <c r="E12" s="41" t="s">
        <v>104</v>
      </c>
      <c r="F12" s="41" t="s">
        <v>104</v>
      </c>
      <c r="G12" s="41" t="s">
        <v>104</v>
      </c>
      <c r="H12" s="41" t="s">
        <v>104</v>
      </c>
      <c r="I12" s="41" t="s">
        <v>104</v>
      </c>
      <c r="J12" s="41" t="s">
        <v>104</v>
      </c>
      <c r="K12" s="41" t="s">
        <v>104</v>
      </c>
      <c r="L12" s="41" t="s">
        <v>104</v>
      </c>
      <c r="M12" s="41" t="s">
        <v>104</v>
      </c>
      <c r="N12" s="41" t="s">
        <v>104</v>
      </c>
      <c r="O12" s="41" t="s">
        <v>104</v>
      </c>
      <c r="P12" s="41" t="s">
        <v>104</v>
      </c>
      <c r="Q12" s="41">
        <v>42821</v>
      </c>
      <c r="R12" s="97"/>
      <c r="S12" s="97"/>
      <c r="T12" s="38"/>
      <c r="U12" s="38"/>
    </row>
    <row r="13" spans="1:24" ht="31.5" customHeight="1" x14ac:dyDescent="0.15">
      <c r="A13" s="90">
        <v>6</v>
      </c>
      <c r="B13" s="110" t="s">
        <v>218</v>
      </c>
      <c r="C13" s="109" t="s">
        <v>207</v>
      </c>
      <c r="D13" s="94">
        <v>42670</v>
      </c>
      <c r="E13" s="41" t="s">
        <v>104</v>
      </c>
      <c r="F13" s="41" t="s">
        <v>104</v>
      </c>
      <c r="G13" s="41" t="s">
        <v>104</v>
      </c>
      <c r="H13" s="41" t="s">
        <v>104</v>
      </c>
      <c r="I13" s="41" t="s">
        <v>104</v>
      </c>
      <c r="J13" s="41" t="s">
        <v>104</v>
      </c>
      <c r="K13" s="41" t="s">
        <v>104</v>
      </c>
      <c r="L13" s="41" t="s">
        <v>104</v>
      </c>
      <c r="M13" s="41">
        <v>42732</v>
      </c>
      <c r="N13" s="41">
        <v>42753</v>
      </c>
      <c r="O13" s="41">
        <v>42774</v>
      </c>
      <c r="P13" s="41">
        <v>42775</v>
      </c>
      <c r="Q13" s="41">
        <v>42815</v>
      </c>
      <c r="R13" s="96" t="s">
        <v>219</v>
      </c>
      <c r="S13" s="96" t="s">
        <v>220</v>
      </c>
      <c r="T13" s="38"/>
      <c r="U13" s="38"/>
    </row>
    <row r="14" spans="1:24" ht="31.5" customHeight="1" x14ac:dyDescent="0.15">
      <c r="A14" s="90"/>
      <c r="B14" s="110"/>
      <c r="C14" s="108"/>
      <c r="D14" s="95"/>
      <c r="E14" s="41" t="s">
        <v>104</v>
      </c>
      <c r="F14" s="41" t="s">
        <v>104</v>
      </c>
      <c r="G14" s="41" t="s">
        <v>104</v>
      </c>
      <c r="H14" s="41" t="s">
        <v>104</v>
      </c>
      <c r="I14" s="41" t="s">
        <v>104</v>
      </c>
      <c r="J14" s="41" t="s">
        <v>104</v>
      </c>
      <c r="K14" s="41" t="s">
        <v>104</v>
      </c>
      <c r="L14" s="41" t="s">
        <v>104</v>
      </c>
      <c r="M14" s="41">
        <v>42732</v>
      </c>
      <c r="N14" s="41">
        <v>42753</v>
      </c>
      <c r="O14" s="41">
        <v>42774</v>
      </c>
      <c r="P14" s="41">
        <v>42781</v>
      </c>
      <c r="Q14" s="41">
        <v>42825</v>
      </c>
      <c r="R14" s="97"/>
      <c r="S14" s="97"/>
      <c r="T14" s="38"/>
      <c r="U14" s="38"/>
    </row>
    <row r="15" spans="1:24" ht="18" customHeight="1" x14ac:dyDescent="0.15">
      <c r="A15" s="90">
        <v>7</v>
      </c>
      <c r="B15" s="110" t="s">
        <v>221</v>
      </c>
      <c r="C15" s="109" t="s">
        <v>207</v>
      </c>
      <c r="D15" s="94">
        <v>42688</v>
      </c>
      <c r="E15" s="41">
        <v>42774</v>
      </c>
      <c r="F15" s="41">
        <v>42776</v>
      </c>
      <c r="G15" s="41">
        <v>42782</v>
      </c>
      <c r="H15" s="41">
        <v>42786</v>
      </c>
      <c r="I15" s="41">
        <v>42776</v>
      </c>
      <c r="J15" s="41">
        <v>42788</v>
      </c>
      <c r="K15" s="41" t="s">
        <v>104</v>
      </c>
      <c r="L15" s="41" t="s">
        <v>104</v>
      </c>
      <c r="M15" s="41">
        <v>42744</v>
      </c>
      <c r="N15" s="41">
        <v>42778</v>
      </c>
      <c r="O15" s="41">
        <v>42778</v>
      </c>
      <c r="P15" s="41">
        <v>42780</v>
      </c>
      <c r="Q15" s="41">
        <v>42844</v>
      </c>
      <c r="R15" s="96" t="s">
        <v>222</v>
      </c>
      <c r="S15" s="96" t="s">
        <v>223</v>
      </c>
      <c r="T15" s="38"/>
      <c r="U15" s="38"/>
    </row>
    <row r="16" spans="1:24" ht="18" customHeight="1" x14ac:dyDescent="0.15">
      <c r="A16" s="90"/>
      <c r="B16" s="110"/>
      <c r="C16" s="108"/>
      <c r="D16" s="95"/>
      <c r="E16" s="41">
        <v>42774</v>
      </c>
      <c r="F16" s="41">
        <v>42776</v>
      </c>
      <c r="G16" s="41">
        <v>42782</v>
      </c>
      <c r="H16" s="41">
        <v>42787</v>
      </c>
      <c r="I16" s="41">
        <v>42776</v>
      </c>
      <c r="J16" s="41">
        <v>42790</v>
      </c>
      <c r="K16" s="41" t="s">
        <v>104</v>
      </c>
      <c r="L16" s="41" t="s">
        <v>104</v>
      </c>
      <c r="M16" s="41">
        <v>42744</v>
      </c>
      <c r="N16" s="41">
        <v>42794</v>
      </c>
      <c r="O16" s="41">
        <v>42794</v>
      </c>
      <c r="P16" s="41">
        <v>42796</v>
      </c>
      <c r="Q16" s="41">
        <v>42864</v>
      </c>
      <c r="R16" s="97"/>
      <c r="S16" s="97"/>
      <c r="U16" s="38"/>
    </row>
    <row r="17" spans="1:22" ht="20.25" customHeight="1" x14ac:dyDescent="0.15">
      <c r="A17" s="90">
        <v>8</v>
      </c>
      <c r="B17" s="110" t="s">
        <v>224</v>
      </c>
      <c r="C17" s="109" t="s">
        <v>207</v>
      </c>
      <c r="D17" s="94">
        <v>42688</v>
      </c>
      <c r="E17" s="41">
        <v>42770</v>
      </c>
      <c r="F17" s="41">
        <v>42776</v>
      </c>
      <c r="G17" s="41">
        <v>42782</v>
      </c>
      <c r="H17" s="41">
        <v>42787</v>
      </c>
      <c r="I17" s="41">
        <v>42776</v>
      </c>
      <c r="J17" s="41">
        <v>42788</v>
      </c>
      <c r="K17" s="41" t="s">
        <v>104</v>
      </c>
      <c r="L17" s="41" t="s">
        <v>104</v>
      </c>
      <c r="M17" s="41">
        <v>42744</v>
      </c>
      <c r="N17" s="41">
        <v>42778</v>
      </c>
      <c r="O17" s="41">
        <v>42778</v>
      </c>
      <c r="P17" s="41">
        <v>42780</v>
      </c>
      <c r="Q17" s="41">
        <v>42844</v>
      </c>
      <c r="R17" s="96" t="s">
        <v>225</v>
      </c>
      <c r="S17" s="96" t="s">
        <v>226</v>
      </c>
      <c r="T17" s="38"/>
      <c r="U17" s="38"/>
    </row>
    <row r="18" spans="1:22" ht="20.25" customHeight="1" x14ac:dyDescent="0.15">
      <c r="A18" s="90"/>
      <c r="B18" s="110"/>
      <c r="C18" s="108"/>
      <c r="D18" s="95"/>
      <c r="E18" s="41">
        <v>42770</v>
      </c>
      <c r="F18" s="41">
        <v>42776</v>
      </c>
      <c r="G18" s="41">
        <v>42782</v>
      </c>
      <c r="H18" s="41">
        <v>42787</v>
      </c>
      <c r="I18" s="41">
        <v>42776</v>
      </c>
      <c r="J18" s="41">
        <v>42790</v>
      </c>
      <c r="K18" s="41" t="s">
        <v>104</v>
      </c>
      <c r="L18" s="41" t="s">
        <v>104</v>
      </c>
      <c r="M18" s="41">
        <v>42744</v>
      </c>
      <c r="N18" s="41">
        <v>42794</v>
      </c>
      <c r="O18" s="41">
        <v>42794</v>
      </c>
      <c r="P18" s="41">
        <v>42796</v>
      </c>
      <c r="Q18" s="41">
        <v>42880</v>
      </c>
      <c r="R18" s="97"/>
      <c r="S18" s="97"/>
      <c r="T18" s="38"/>
      <c r="U18" s="38"/>
    </row>
    <row r="19" spans="1:22" ht="20.25" customHeight="1" x14ac:dyDescent="0.15">
      <c r="A19" s="89">
        <v>9</v>
      </c>
      <c r="B19" s="110" t="s">
        <v>227</v>
      </c>
      <c r="C19" s="109" t="s">
        <v>121</v>
      </c>
      <c r="D19" s="94">
        <v>42664</v>
      </c>
      <c r="E19" s="41" t="s">
        <v>104</v>
      </c>
      <c r="F19" s="41" t="s">
        <v>104</v>
      </c>
      <c r="G19" s="41" t="s">
        <v>104</v>
      </c>
      <c r="H19" s="41" t="s">
        <v>104</v>
      </c>
      <c r="I19" s="41" t="s">
        <v>104</v>
      </c>
      <c r="J19" s="41" t="s">
        <v>104</v>
      </c>
      <c r="K19" s="41" t="s">
        <v>104</v>
      </c>
      <c r="L19" s="41" t="s">
        <v>104</v>
      </c>
      <c r="M19" s="41">
        <v>42741</v>
      </c>
      <c r="N19" s="41">
        <v>42748</v>
      </c>
      <c r="O19" s="41">
        <v>42780</v>
      </c>
      <c r="P19" s="41">
        <v>42780</v>
      </c>
      <c r="Q19" s="41">
        <v>42790</v>
      </c>
      <c r="R19" s="96" t="s">
        <v>228</v>
      </c>
      <c r="S19" s="96" t="s">
        <v>229</v>
      </c>
      <c r="T19" s="109">
        <v>1</v>
      </c>
      <c r="U19" s="38"/>
      <c r="V19" s="38"/>
    </row>
    <row r="20" spans="1:22" ht="20.25" customHeight="1" x14ac:dyDescent="0.15">
      <c r="A20" s="90"/>
      <c r="B20" s="110"/>
      <c r="C20" s="108"/>
      <c r="D20" s="95"/>
      <c r="E20" s="41" t="s">
        <v>104</v>
      </c>
      <c r="F20" s="41" t="s">
        <v>104</v>
      </c>
      <c r="G20" s="41" t="s">
        <v>104</v>
      </c>
      <c r="H20" s="41" t="s">
        <v>104</v>
      </c>
      <c r="I20" s="41" t="s">
        <v>104</v>
      </c>
      <c r="J20" s="41" t="s">
        <v>104</v>
      </c>
      <c r="K20" s="41" t="s">
        <v>104</v>
      </c>
      <c r="L20" s="41" t="s">
        <v>104</v>
      </c>
      <c r="M20" s="41">
        <v>42740</v>
      </c>
      <c r="N20" s="41">
        <v>42747</v>
      </c>
      <c r="O20" s="41">
        <v>42780</v>
      </c>
      <c r="P20" s="41">
        <v>42843</v>
      </c>
      <c r="Q20" s="41">
        <v>42955</v>
      </c>
      <c r="R20" s="106"/>
      <c r="S20" s="97"/>
      <c r="T20" s="108"/>
      <c r="U20" s="38"/>
      <c r="V20" s="38"/>
    </row>
    <row r="21" spans="1:22" ht="18.75" customHeight="1" x14ac:dyDescent="0.15">
      <c r="A21" s="90">
        <v>10</v>
      </c>
      <c r="B21" s="113" t="s">
        <v>230</v>
      </c>
      <c r="C21" s="109" t="s">
        <v>121</v>
      </c>
      <c r="D21" s="94">
        <v>42752</v>
      </c>
      <c r="E21" s="41">
        <v>42775</v>
      </c>
      <c r="F21" s="41">
        <v>42781</v>
      </c>
      <c r="G21" s="41">
        <v>42790</v>
      </c>
      <c r="H21" s="41">
        <v>42793</v>
      </c>
      <c r="I21" s="41">
        <v>42783</v>
      </c>
      <c r="J21" s="41">
        <v>42803</v>
      </c>
      <c r="K21" s="41" t="s">
        <v>104</v>
      </c>
      <c r="L21" s="41" t="s">
        <v>104</v>
      </c>
      <c r="M21" s="41">
        <v>42811</v>
      </c>
      <c r="N21" s="41">
        <v>42839</v>
      </c>
      <c r="O21" s="41">
        <v>42863</v>
      </c>
      <c r="P21" s="41">
        <v>42865</v>
      </c>
      <c r="Q21" s="41">
        <v>42909</v>
      </c>
      <c r="R21" s="96" t="s">
        <v>231</v>
      </c>
      <c r="S21" s="96" t="s">
        <v>232</v>
      </c>
      <c r="T21" s="109">
        <v>1</v>
      </c>
      <c r="U21" s="38"/>
      <c r="V21" s="38"/>
    </row>
    <row r="22" spans="1:22" ht="18.75" customHeight="1" x14ac:dyDescent="0.15">
      <c r="A22" s="90"/>
      <c r="B22" s="113"/>
      <c r="C22" s="108"/>
      <c r="D22" s="95"/>
      <c r="E22" s="41">
        <v>42776</v>
      </c>
      <c r="F22" s="41">
        <v>42787</v>
      </c>
      <c r="G22" s="41">
        <v>42792</v>
      </c>
      <c r="H22" s="41">
        <v>42796</v>
      </c>
      <c r="I22" s="41">
        <v>42788</v>
      </c>
      <c r="J22" s="41">
        <v>42803</v>
      </c>
      <c r="K22" s="41" t="s">
        <v>104</v>
      </c>
      <c r="L22" s="41" t="s">
        <v>104</v>
      </c>
      <c r="M22" s="41">
        <v>42814</v>
      </c>
      <c r="N22" s="41">
        <v>42839</v>
      </c>
      <c r="O22" s="41">
        <v>42863</v>
      </c>
      <c r="P22" s="41">
        <v>42871</v>
      </c>
      <c r="Q22" s="41">
        <v>42958</v>
      </c>
      <c r="R22" s="97"/>
      <c r="S22" s="97"/>
      <c r="T22" s="108"/>
      <c r="U22" s="38"/>
      <c r="V22" s="38"/>
    </row>
    <row r="23" spans="1:22" ht="21.75" customHeight="1" x14ac:dyDescent="0.15">
      <c r="A23" s="89">
        <v>11</v>
      </c>
      <c r="B23" s="91" t="s">
        <v>233</v>
      </c>
      <c r="C23" s="92" t="s">
        <v>121</v>
      </c>
      <c r="D23" s="94">
        <v>42900</v>
      </c>
      <c r="E23" s="41">
        <v>42906</v>
      </c>
      <c r="F23" s="41">
        <v>42915</v>
      </c>
      <c r="G23" s="41">
        <v>42922</v>
      </c>
      <c r="H23" s="41">
        <v>42929</v>
      </c>
      <c r="I23" s="41">
        <v>42916</v>
      </c>
      <c r="J23" s="41">
        <v>42921</v>
      </c>
      <c r="K23" s="41" t="s">
        <v>104</v>
      </c>
      <c r="L23" s="41" t="s">
        <v>104</v>
      </c>
      <c r="M23" s="41">
        <v>42940</v>
      </c>
      <c r="N23" s="41">
        <v>42949</v>
      </c>
      <c r="O23" s="41" t="s">
        <v>104</v>
      </c>
      <c r="P23" s="41">
        <v>42955</v>
      </c>
      <c r="Q23" s="41">
        <v>42991</v>
      </c>
      <c r="R23" s="96" t="s">
        <v>234</v>
      </c>
      <c r="S23" s="96" t="s">
        <v>229</v>
      </c>
      <c r="T23" s="92">
        <v>1</v>
      </c>
      <c r="U23" s="38"/>
      <c r="V23" s="38"/>
    </row>
    <row r="24" spans="1:22" ht="21.75" customHeight="1" x14ac:dyDescent="0.15">
      <c r="A24" s="90"/>
      <c r="B24" s="91"/>
      <c r="C24" s="93"/>
      <c r="D24" s="95"/>
      <c r="E24" s="41">
        <v>42906</v>
      </c>
      <c r="F24" s="41">
        <v>42915</v>
      </c>
      <c r="G24" s="41">
        <v>42920</v>
      </c>
      <c r="H24" s="41">
        <v>42923</v>
      </c>
      <c r="I24" s="41">
        <v>42916</v>
      </c>
      <c r="J24" s="41">
        <v>42921</v>
      </c>
      <c r="K24" s="41" t="s">
        <v>104</v>
      </c>
      <c r="L24" s="41" t="s">
        <v>104</v>
      </c>
      <c r="M24" s="41">
        <v>42927</v>
      </c>
      <c r="N24" s="41">
        <v>42949</v>
      </c>
      <c r="O24" s="41" t="s">
        <v>104</v>
      </c>
      <c r="P24" s="41">
        <v>42955</v>
      </c>
      <c r="Q24" s="41">
        <v>42975</v>
      </c>
      <c r="R24" s="97"/>
      <c r="S24" s="97"/>
      <c r="T24" s="93"/>
      <c r="U24" s="38"/>
      <c r="V24" s="38"/>
    </row>
    <row r="25" spans="1:22" ht="21.75" customHeight="1" x14ac:dyDescent="0.15">
      <c r="A25" s="90">
        <v>12</v>
      </c>
      <c r="B25" s="91" t="s">
        <v>235</v>
      </c>
      <c r="C25" s="92" t="s">
        <v>121</v>
      </c>
      <c r="D25" s="94">
        <v>42900</v>
      </c>
      <c r="E25" s="41">
        <v>42908</v>
      </c>
      <c r="F25" s="41">
        <v>42916</v>
      </c>
      <c r="G25" s="41">
        <v>42926</v>
      </c>
      <c r="H25" s="41">
        <v>42933</v>
      </c>
      <c r="I25" s="41">
        <v>42916</v>
      </c>
      <c r="J25" s="41">
        <v>42921</v>
      </c>
      <c r="K25" s="41" t="s">
        <v>104</v>
      </c>
      <c r="L25" s="41" t="s">
        <v>104</v>
      </c>
      <c r="M25" s="41">
        <v>42942</v>
      </c>
      <c r="N25" s="41">
        <v>42949</v>
      </c>
      <c r="O25" s="41" t="s">
        <v>104</v>
      </c>
      <c r="P25" s="41">
        <v>42955</v>
      </c>
      <c r="Q25" s="41">
        <v>42991</v>
      </c>
      <c r="R25" s="96" t="s">
        <v>234</v>
      </c>
      <c r="S25" s="96" t="s">
        <v>229</v>
      </c>
      <c r="T25" s="92">
        <v>1</v>
      </c>
      <c r="U25" s="38"/>
      <c r="V25" s="38"/>
    </row>
    <row r="26" spans="1:22" ht="21.75" customHeight="1" x14ac:dyDescent="0.15">
      <c r="A26" s="90"/>
      <c r="B26" s="91"/>
      <c r="C26" s="93"/>
      <c r="D26" s="95"/>
      <c r="E26" s="41">
        <v>42906</v>
      </c>
      <c r="F26" s="41">
        <v>42915</v>
      </c>
      <c r="G26" s="41">
        <v>42920</v>
      </c>
      <c r="H26" s="41">
        <v>42923</v>
      </c>
      <c r="I26" s="41">
        <v>42916</v>
      </c>
      <c r="J26" s="41">
        <v>42921</v>
      </c>
      <c r="K26" s="41" t="s">
        <v>104</v>
      </c>
      <c r="L26" s="41" t="s">
        <v>104</v>
      </c>
      <c r="M26" s="41">
        <v>42927</v>
      </c>
      <c r="N26" s="41">
        <v>42949</v>
      </c>
      <c r="O26" s="41" t="s">
        <v>104</v>
      </c>
      <c r="P26" s="41">
        <v>42955</v>
      </c>
      <c r="Q26" s="41">
        <v>42975</v>
      </c>
      <c r="R26" s="97"/>
      <c r="S26" s="97"/>
      <c r="T26" s="93"/>
      <c r="U26" s="38"/>
      <c r="V26" s="38"/>
    </row>
    <row r="27" spans="1:22" ht="21.75" customHeight="1" x14ac:dyDescent="0.15">
      <c r="A27" s="90">
        <v>13</v>
      </c>
      <c r="B27" s="91" t="s">
        <v>236</v>
      </c>
      <c r="C27" s="92" t="s">
        <v>121</v>
      </c>
      <c r="D27" s="94">
        <v>42906</v>
      </c>
      <c r="E27" s="41">
        <v>42909</v>
      </c>
      <c r="F27" s="41">
        <v>42915</v>
      </c>
      <c r="G27" s="41">
        <v>42923</v>
      </c>
      <c r="H27" s="41">
        <v>42930</v>
      </c>
      <c r="I27" s="41">
        <v>42922</v>
      </c>
      <c r="J27" s="41">
        <v>42936</v>
      </c>
      <c r="K27" s="41" t="s">
        <v>104</v>
      </c>
      <c r="L27" s="41" t="s">
        <v>104</v>
      </c>
      <c r="M27" s="41">
        <v>42944</v>
      </c>
      <c r="N27" s="41">
        <v>42965</v>
      </c>
      <c r="O27" s="41"/>
      <c r="P27" s="41">
        <v>42975</v>
      </c>
      <c r="Q27" s="41">
        <v>43006</v>
      </c>
      <c r="R27" s="96" t="s">
        <v>237</v>
      </c>
      <c r="S27" s="96" t="s">
        <v>238</v>
      </c>
      <c r="T27" s="92">
        <v>1</v>
      </c>
      <c r="U27" s="38"/>
      <c r="V27" s="38"/>
    </row>
    <row r="28" spans="1:22" ht="21.75" customHeight="1" x14ac:dyDescent="0.15">
      <c r="A28" s="90"/>
      <c r="B28" s="91"/>
      <c r="C28" s="93"/>
      <c r="D28" s="95"/>
      <c r="E28" s="41">
        <v>42909</v>
      </c>
      <c r="F28" s="41">
        <v>42915</v>
      </c>
      <c r="G28" s="41">
        <v>42923</v>
      </c>
      <c r="H28" s="41">
        <v>42930</v>
      </c>
      <c r="I28" s="41">
        <v>42922</v>
      </c>
      <c r="J28" s="41">
        <v>42935</v>
      </c>
      <c r="K28" s="41" t="s">
        <v>104</v>
      </c>
      <c r="L28" s="41" t="s">
        <v>104</v>
      </c>
      <c r="M28" s="41">
        <v>42941</v>
      </c>
      <c r="N28" s="41">
        <v>42971</v>
      </c>
      <c r="O28" s="41" t="s">
        <v>104</v>
      </c>
      <c r="P28" s="41">
        <v>42975</v>
      </c>
      <c r="Q28" s="41">
        <v>42975</v>
      </c>
      <c r="R28" s="97"/>
      <c r="S28" s="97"/>
      <c r="T28" s="93"/>
      <c r="U28" s="38"/>
      <c r="V28" s="38"/>
    </row>
    <row r="29" spans="1:22" ht="21.75" customHeight="1" x14ac:dyDescent="0.15">
      <c r="A29" s="89">
        <v>14</v>
      </c>
      <c r="B29" s="91" t="s">
        <v>239</v>
      </c>
      <c r="C29" s="92" t="s">
        <v>121</v>
      </c>
      <c r="D29" s="94">
        <v>42906</v>
      </c>
      <c r="E29" s="41">
        <v>42909</v>
      </c>
      <c r="F29" s="41">
        <v>42915</v>
      </c>
      <c r="G29" s="41">
        <v>42923</v>
      </c>
      <c r="H29" s="41">
        <v>42930</v>
      </c>
      <c r="I29" s="41">
        <v>42922</v>
      </c>
      <c r="J29" s="41">
        <v>42936</v>
      </c>
      <c r="K29" s="41" t="s">
        <v>104</v>
      </c>
      <c r="L29" s="41" t="s">
        <v>104</v>
      </c>
      <c r="M29" s="41">
        <v>42950</v>
      </c>
      <c r="N29" s="41">
        <v>42971</v>
      </c>
      <c r="O29" s="41" t="s">
        <v>104</v>
      </c>
      <c r="P29" s="41">
        <v>42978</v>
      </c>
      <c r="Q29" s="41">
        <v>43020</v>
      </c>
      <c r="R29" s="96" t="s">
        <v>240</v>
      </c>
      <c r="S29" s="96" t="s">
        <v>238</v>
      </c>
      <c r="T29" s="92">
        <v>1</v>
      </c>
      <c r="U29" s="38"/>
      <c r="V29" s="38"/>
    </row>
    <row r="30" spans="1:22" ht="21.75" customHeight="1" x14ac:dyDescent="0.15">
      <c r="A30" s="90"/>
      <c r="B30" s="91"/>
      <c r="C30" s="93"/>
      <c r="D30" s="95"/>
      <c r="E30" s="41">
        <v>42909</v>
      </c>
      <c r="F30" s="41">
        <v>42915</v>
      </c>
      <c r="G30" s="41">
        <v>42923</v>
      </c>
      <c r="H30" s="41">
        <v>42930</v>
      </c>
      <c r="I30" s="41">
        <v>42922</v>
      </c>
      <c r="J30" s="41">
        <v>42754</v>
      </c>
      <c r="K30" s="41" t="s">
        <v>104</v>
      </c>
      <c r="L30" s="41" t="s">
        <v>104</v>
      </c>
      <c r="M30" s="41">
        <v>42935</v>
      </c>
      <c r="N30" s="41">
        <v>42976</v>
      </c>
      <c r="O30" s="41" t="s">
        <v>104</v>
      </c>
      <c r="P30" s="41">
        <v>42975</v>
      </c>
      <c r="Q30" s="41">
        <v>42975</v>
      </c>
      <c r="R30" s="97"/>
      <c r="S30" s="97"/>
      <c r="T30" s="93"/>
      <c r="U30" s="38"/>
      <c r="V30" s="38"/>
    </row>
    <row r="31" spans="1:22" ht="21.75" customHeight="1" x14ac:dyDescent="0.15">
      <c r="A31" s="98">
        <v>15</v>
      </c>
      <c r="B31" s="91" t="s">
        <v>241</v>
      </c>
      <c r="C31" s="92" t="s">
        <v>121</v>
      </c>
      <c r="D31" s="94">
        <v>42882</v>
      </c>
      <c r="E31" s="41">
        <v>42893</v>
      </c>
      <c r="F31" s="41">
        <v>42895</v>
      </c>
      <c r="G31" s="41">
        <v>42902</v>
      </c>
      <c r="H31" s="41">
        <v>42906</v>
      </c>
      <c r="I31" s="41">
        <v>42898</v>
      </c>
      <c r="J31" s="41">
        <v>42906</v>
      </c>
      <c r="K31" s="41" t="s">
        <v>104</v>
      </c>
      <c r="L31" s="41" t="s">
        <v>104</v>
      </c>
      <c r="M31" s="41">
        <v>42926</v>
      </c>
      <c r="N31" s="41">
        <v>42950</v>
      </c>
      <c r="O31" s="41">
        <v>42968</v>
      </c>
      <c r="P31" s="41">
        <v>42971</v>
      </c>
      <c r="Q31" s="41">
        <v>43007</v>
      </c>
      <c r="R31" s="96" t="s">
        <v>242</v>
      </c>
      <c r="S31" s="96" t="s">
        <v>126</v>
      </c>
      <c r="T31" s="92">
        <v>1</v>
      </c>
      <c r="U31" s="38"/>
      <c r="V31" s="38"/>
    </row>
    <row r="32" spans="1:22" ht="21.75" customHeight="1" x14ac:dyDescent="0.15">
      <c r="A32" s="99"/>
      <c r="B32" s="91"/>
      <c r="C32" s="104"/>
      <c r="D32" s="105"/>
      <c r="E32" s="41" t="s">
        <v>104</v>
      </c>
      <c r="F32" s="41" t="s">
        <v>104</v>
      </c>
      <c r="G32" s="41" t="s">
        <v>104</v>
      </c>
      <c r="H32" s="41" t="s">
        <v>104</v>
      </c>
      <c r="I32" s="41" t="s">
        <v>104</v>
      </c>
      <c r="J32" s="41" t="s">
        <v>104</v>
      </c>
      <c r="K32" s="41" t="s">
        <v>104</v>
      </c>
      <c r="L32" s="41" t="s">
        <v>104</v>
      </c>
      <c r="M32" s="41" t="s">
        <v>104</v>
      </c>
      <c r="N32" s="41">
        <v>42958</v>
      </c>
      <c r="O32" s="41">
        <v>42976</v>
      </c>
      <c r="P32" s="41">
        <v>42979</v>
      </c>
      <c r="Q32" s="41">
        <v>43021</v>
      </c>
      <c r="R32" s="106"/>
      <c r="S32" s="106"/>
      <c r="T32" s="104"/>
      <c r="U32" s="38"/>
      <c r="V32" s="38"/>
    </row>
    <row r="33" spans="1:24" ht="21.75" customHeight="1" x14ac:dyDescent="0.15">
      <c r="A33" s="89"/>
      <c r="B33" s="91"/>
      <c r="C33" s="93"/>
      <c r="D33" s="95"/>
      <c r="E33" s="41">
        <v>42893</v>
      </c>
      <c r="F33" s="41">
        <v>42895</v>
      </c>
      <c r="G33" s="41">
        <v>42902</v>
      </c>
      <c r="H33" s="41">
        <v>42906</v>
      </c>
      <c r="I33" s="41">
        <v>42898</v>
      </c>
      <c r="J33" s="41">
        <v>42906</v>
      </c>
      <c r="K33" s="41" t="s">
        <v>104</v>
      </c>
      <c r="L33" s="41" t="s">
        <v>104</v>
      </c>
      <c r="M33" s="41">
        <v>42926</v>
      </c>
      <c r="N33" s="41">
        <v>42958</v>
      </c>
      <c r="O33" s="41">
        <v>42984</v>
      </c>
      <c r="P33" s="41">
        <v>42991</v>
      </c>
      <c r="Q33" s="41">
        <v>42991</v>
      </c>
      <c r="R33" s="97"/>
      <c r="S33" s="97"/>
      <c r="T33" s="93"/>
      <c r="U33" s="38"/>
      <c r="V33" s="38"/>
    </row>
    <row r="34" spans="1:24" ht="21.75" customHeight="1" x14ac:dyDescent="0.15">
      <c r="A34" s="98">
        <v>16</v>
      </c>
      <c r="B34" s="91" t="s">
        <v>243</v>
      </c>
      <c r="C34" s="92" t="s">
        <v>121</v>
      </c>
      <c r="D34" s="94">
        <v>42882</v>
      </c>
      <c r="E34" s="41">
        <v>42893</v>
      </c>
      <c r="F34" s="41">
        <v>42895</v>
      </c>
      <c r="G34" s="41">
        <v>42905</v>
      </c>
      <c r="H34" s="41">
        <v>42909</v>
      </c>
      <c r="I34" s="41">
        <v>42898</v>
      </c>
      <c r="J34" s="41">
        <v>42916</v>
      </c>
      <c r="K34" s="41" t="s">
        <v>104</v>
      </c>
      <c r="L34" s="41" t="s">
        <v>104</v>
      </c>
      <c r="M34" s="41">
        <v>42934</v>
      </c>
      <c r="N34" s="41">
        <v>42958</v>
      </c>
      <c r="O34" s="41">
        <v>42976</v>
      </c>
      <c r="P34" s="41">
        <v>42979</v>
      </c>
      <c r="Q34" s="41">
        <v>43021</v>
      </c>
      <c r="R34" s="96" t="s">
        <v>242</v>
      </c>
      <c r="S34" s="96" t="s">
        <v>126</v>
      </c>
      <c r="T34" s="92">
        <v>1</v>
      </c>
      <c r="U34" s="38"/>
      <c r="V34" s="38"/>
    </row>
    <row r="35" spans="1:24" ht="21.75" customHeight="1" x14ac:dyDescent="0.15">
      <c r="A35" s="99"/>
      <c r="B35" s="91"/>
      <c r="C35" s="104"/>
      <c r="D35" s="105"/>
      <c r="E35" s="41" t="s">
        <v>104</v>
      </c>
      <c r="F35" s="41" t="s">
        <v>104</v>
      </c>
      <c r="G35" s="41" t="s">
        <v>104</v>
      </c>
      <c r="H35" s="41" t="s">
        <v>104</v>
      </c>
      <c r="I35" s="41" t="s">
        <v>104</v>
      </c>
      <c r="J35" s="41" t="s">
        <v>104</v>
      </c>
      <c r="K35" s="41" t="s">
        <v>104</v>
      </c>
      <c r="L35" s="41" t="s">
        <v>104</v>
      </c>
      <c r="M35" s="41" t="s">
        <v>104</v>
      </c>
      <c r="N35" s="41">
        <v>42965</v>
      </c>
      <c r="O35" s="41">
        <v>42979</v>
      </c>
      <c r="P35" s="41">
        <v>42991</v>
      </c>
      <c r="Q35" s="41">
        <v>43026</v>
      </c>
      <c r="R35" s="106"/>
      <c r="S35" s="106"/>
      <c r="T35" s="104"/>
      <c r="U35" s="38"/>
      <c r="V35" s="38"/>
    </row>
    <row r="36" spans="1:24" ht="21.75" customHeight="1" x14ac:dyDescent="0.15">
      <c r="A36" s="89"/>
      <c r="B36" s="91"/>
      <c r="C36" s="93"/>
      <c r="D36" s="95"/>
      <c r="E36" s="41">
        <v>42893</v>
      </c>
      <c r="F36" s="41">
        <v>42895</v>
      </c>
      <c r="G36" s="41">
        <v>42905</v>
      </c>
      <c r="H36" s="41">
        <v>42909</v>
      </c>
      <c r="I36" s="41">
        <v>42898</v>
      </c>
      <c r="J36" s="41">
        <v>42916</v>
      </c>
      <c r="K36" s="41" t="s">
        <v>104</v>
      </c>
      <c r="L36" s="41" t="s">
        <v>104</v>
      </c>
      <c r="M36" s="41">
        <v>42947</v>
      </c>
      <c r="N36" s="41">
        <v>42958</v>
      </c>
      <c r="O36" s="41">
        <v>42984</v>
      </c>
      <c r="P36" s="41">
        <v>42991</v>
      </c>
      <c r="Q36" s="41">
        <v>42991</v>
      </c>
      <c r="R36" s="97"/>
      <c r="S36" s="97"/>
      <c r="T36" s="93"/>
      <c r="U36" s="38"/>
      <c r="V36" s="38"/>
    </row>
    <row r="37" spans="1:24" ht="26.25" customHeight="1" x14ac:dyDescent="0.15">
      <c r="A37" s="90">
        <v>17</v>
      </c>
      <c r="B37" s="110" t="s">
        <v>244</v>
      </c>
      <c r="C37" s="109" t="s">
        <v>121</v>
      </c>
      <c r="D37" s="94">
        <v>42668</v>
      </c>
      <c r="E37" s="41" t="s">
        <v>104</v>
      </c>
      <c r="F37" s="41" t="s">
        <v>104</v>
      </c>
      <c r="G37" s="41" t="s">
        <v>104</v>
      </c>
      <c r="H37" s="41" t="s">
        <v>104</v>
      </c>
      <c r="I37" s="41" t="s">
        <v>104</v>
      </c>
      <c r="J37" s="41" t="s">
        <v>104</v>
      </c>
      <c r="K37" s="41" t="s">
        <v>104</v>
      </c>
      <c r="L37" s="41" t="s">
        <v>104</v>
      </c>
      <c r="M37" s="41">
        <v>42752</v>
      </c>
      <c r="N37" s="41">
        <v>42794</v>
      </c>
      <c r="O37" s="41">
        <v>42794</v>
      </c>
      <c r="P37" s="41">
        <v>42817</v>
      </c>
      <c r="Q37" s="41">
        <v>42864</v>
      </c>
      <c r="R37" s="96" t="s">
        <v>245</v>
      </c>
      <c r="S37" s="96" t="s">
        <v>246</v>
      </c>
      <c r="T37" s="109">
        <v>1</v>
      </c>
      <c r="U37" s="38"/>
      <c r="V37" s="38"/>
    </row>
    <row r="38" spans="1:24" ht="26.25" customHeight="1" x14ac:dyDescent="0.15">
      <c r="A38" s="90"/>
      <c r="B38" s="110"/>
      <c r="C38" s="108"/>
      <c r="D38" s="95"/>
      <c r="E38" s="41" t="s">
        <v>104</v>
      </c>
      <c r="F38" s="41" t="s">
        <v>104</v>
      </c>
      <c r="G38" s="41" t="s">
        <v>104</v>
      </c>
      <c r="H38" s="41" t="s">
        <v>104</v>
      </c>
      <c r="I38" s="41" t="s">
        <v>104</v>
      </c>
      <c r="J38" s="41" t="s">
        <v>104</v>
      </c>
      <c r="K38" s="41" t="s">
        <v>104</v>
      </c>
      <c r="L38" s="41" t="s">
        <v>104</v>
      </c>
      <c r="M38" s="41">
        <v>42757</v>
      </c>
      <c r="N38" s="41">
        <v>42843</v>
      </c>
      <c r="O38" s="41">
        <v>42843</v>
      </c>
      <c r="P38" s="41">
        <v>42844</v>
      </c>
      <c r="Q38" s="41">
        <v>43018</v>
      </c>
      <c r="R38" s="106"/>
      <c r="S38" s="97"/>
      <c r="T38" s="108"/>
      <c r="U38" s="38"/>
      <c r="V38" s="38"/>
    </row>
    <row r="39" spans="1:24" ht="18" customHeight="1" x14ac:dyDescent="0.15">
      <c r="A39" s="90">
        <v>4</v>
      </c>
      <c r="B39" s="110" t="s">
        <v>247</v>
      </c>
      <c r="C39" s="109" t="s">
        <v>121</v>
      </c>
      <c r="D39" s="94">
        <v>42691</v>
      </c>
      <c r="E39" s="41" t="s">
        <v>104</v>
      </c>
      <c r="F39" s="41" t="s">
        <v>104</v>
      </c>
      <c r="G39" s="41" t="s">
        <v>104</v>
      </c>
      <c r="H39" s="41" t="s">
        <v>104</v>
      </c>
      <c r="I39" s="41" t="s">
        <v>104</v>
      </c>
      <c r="J39" s="41" t="s">
        <v>104</v>
      </c>
      <c r="K39" s="41" t="s">
        <v>104</v>
      </c>
      <c r="L39" s="41" t="s">
        <v>104</v>
      </c>
      <c r="M39" s="41">
        <v>42728</v>
      </c>
      <c r="N39" s="41">
        <v>43019</v>
      </c>
      <c r="O39" s="41">
        <v>42752</v>
      </c>
      <c r="P39" s="41">
        <v>42786</v>
      </c>
      <c r="Q39" s="41">
        <v>42788</v>
      </c>
      <c r="R39" s="96" t="s">
        <v>248</v>
      </c>
      <c r="S39" s="96" t="s">
        <v>249</v>
      </c>
      <c r="T39" s="109">
        <v>1</v>
      </c>
      <c r="U39" s="38"/>
      <c r="V39" s="38"/>
    </row>
    <row r="40" spans="1:24" ht="18" customHeight="1" x14ac:dyDescent="0.15">
      <c r="A40" s="90"/>
      <c r="B40" s="110"/>
      <c r="C40" s="108"/>
      <c r="D40" s="95"/>
      <c r="E40" s="41" t="s">
        <v>104</v>
      </c>
      <c r="F40" s="41" t="s">
        <v>104</v>
      </c>
      <c r="G40" s="41" t="s">
        <v>104</v>
      </c>
      <c r="H40" s="41" t="s">
        <v>104</v>
      </c>
      <c r="I40" s="41" t="s">
        <v>104</v>
      </c>
      <c r="J40" s="41" t="s">
        <v>104</v>
      </c>
      <c r="K40" s="41" t="s">
        <v>104</v>
      </c>
      <c r="L40" s="41" t="s">
        <v>104</v>
      </c>
      <c r="M40" s="41">
        <v>42730</v>
      </c>
      <c r="N40" s="41">
        <v>43019</v>
      </c>
      <c r="O40" s="41">
        <v>42752</v>
      </c>
      <c r="P40" s="41">
        <v>43024</v>
      </c>
      <c r="Q40" s="41">
        <v>43024</v>
      </c>
      <c r="R40" s="106"/>
      <c r="S40" s="97"/>
      <c r="T40" s="108"/>
      <c r="U40" s="38"/>
      <c r="V40" s="38"/>
    </row>
    <row r="41" spans="1:24" ht="15" customHeight="1" x14ac:dyDescent="0.15">
      <c r="A41" s="89">
        <v>5</v>
      </c>
      <c r="B41" s="113" t="s">
        <v>250</v>
      </c>
      <c r="C41" s="109" t="s">
        <v>121</v>
      </c>
      <c r="D41" s="94">
        <v>42691</v>
      </c>
      <c r="E41" s="41" t="s">
        <v>104</v>
      </c>
      <c r="F41" s="41" t="s">
        <v>104</v>
      </c>
      <c r="G41" s="41" t="s">
        <v>104</v>
      </c>
      <c r="H41" s="41" t="s">
        <v>104</v>
      </c>
      <c r="I41" s="41" t="s">
        <v>104</v>
      </c>
      <c r="J41" s="41" t="s">
        <v>104</v>
      </c>
      <c r="K41" s="41" t="s">
        <v>104</v>
      </c>
      <c r="L41" s="41" t="s">
        <v>104</v>
      </c>
      <c r="M41" s="41">
        <v>42734</v>
      </c>
      <c r="N41" s="41">
        <v>43019</v>
      </c>
      <c r="O41" s="41">
        <v>42752</v>
      </c>
      <c r="P41" s="41">
        <v>42786</v>
      </c>
      <c r="Q41" s="41">
        <v>42788</v>
      </c>
      <c r="R41" s="96" t="s">
        <v>248</v>
      </c>
      <c r="S41" s="96" t="s">
        <v>249</v>
      </c>
      <c r="T41" s="109">
        <v>1</v>
      </c>
      <c r="U41" s="38"/>
      <c r="V41" s="38"/>
    </row>
    <row r="42" spans="1:24" ht="27" customHeight="1" x14ac:dyDescent="0.15">
      <c r="A42" s="90"/>
      <c r="B42" s="113"/>
      <c r="C42" s="108"/>
      <c r="D42" s="95"/>
      <c r="E42" s="41" t="s">
        <v>104</v>
      </c>
      <c r="F42" s="41" t="s">
        <v>104</v>
      </c>
      <c r="G42" s="41" t="s">
        <v>104</v>
      </c>
      <c r="H42" s="41" t="s">
        <v>104</v>
      </c>
      <c r="I42" s="41" t="s">
        <v>104</v>
      </c>
      <c r="J42" s="41" t="s">
        <v>104</v>
      </c>
      <c r="K42" s="41" t="s">
        <v>104</v>
      </c>
      <c r="L42" s="41" t="s">
        <v>104</v>
      </c>
      <c r="M42" s="41">
        <v>42742</v>
      </c>
      <c r="N42" s="41">
        <v>43019</v>
      </c>
      <c r="O42" s="41">
        <v>42752</v>
      </c>
      <c r="P42" s="41">
        <v>43024</v>
      </c>
      <c r="Q42" s="41">
        <v>43024</v>
      </c>
      <c r="R42" s="106"/>
      <c r="S42" s="97"/>
      <c r="T42" s="108"/>
      <c r="U42" s="38"/>
      <c r="V42" s="38"/>
    </row>
    <row r="43" spans="1:24" ht="20.25" x14ac:dyDescent="0.15">
      <c r="A43" s="119" t="s">
        <v>102</v>
      </c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20"/>
      <c r="T43" s="58"/>
      <c r="U43" s="55"/>
      <c r="V43" s="55"/>
      <c r="W43" s="1"/>
      <c r="X43" s="38"/>
    </row>
    <row r="44" spans="1:24" ht="19.5" customHeight="1" x14ac:dyDescent="0.15">
      <c r="A44" s="90">
        <v>1</v>
      </c>
      <c r="B44" s="110" t="s">
        <v>251</v>
      </c>
      <c r="C44" s="109" t="s">
        <v>207</v>
      </c>
      <c r="D44" s="94">
        <v>42608</v>
      </c>
      <c r="E44" s="41" t="s">
        <v>104</v>
      </c>
      <c r="F44" s="41" t="s">
        <v>104</v>
      </c>
      <c r="G44" s="41" t="s">
        <v>104</v>
      </c>
      <c r="H44" s="41" t="s">
        <v>104</v>
      </c>
      <c r="I44" s="41" t="s">
        <v>104</v>
      </c>
      <c r="J44" s="41">
        <v>919</v>
      </c>
      <c r="K44" s="41" t="s">
        <v>104</v>
      </c>
      <c r="L44" s="41" t="s">
        <v>104</v>
      </c>
      <c r="M44" s="41">
        <v>42734</v>
      </c>
      <c r="N44" s="41">
        <v>42776</v>
      </c>
      <c r="O44" s="41">
        <v>42774</v>
      </c>
      <c r="P44" s="41">
        <v>42782</v>
      </c>
      <c r="Q44" s="41">
        <v>42818</v>
      </c>
      <c r="R44" s="96" t="s">
        <v>252</v>
      </c>
      <c r="S44" s="96" t="s">
        <v>253</v>
      </c>
      <c r="T44" s="38"/>
      <c r="U44" s="38"/>
    </row>
    <row r="45" spans="1:24" ht="19.5" customHeight="1" x14ac:dyDescent="0.15">
      <c r="A45" s="90"/>
      <c r="B45" s="110"/>
      <c r="C45" s="108"/>
      <c r="D45" s="95"/>
      <c r="E45" s="41" t="s">
        <v>104</v>
      </c>
      <c r="F45" s="41" t="s">
        <v>104</v>
      </c>
      <c r="G45" s="41" t="s">
        <v>104</v>
      </c>
      <c r="H45" s="41" t="s">
        <v>104</v>
      </c>
      <c r="I45" s="41" t="s">
        <v>104</v>
      </c>
      <c r="J45" s="41" t="s">
        <v>104</v>
      </c>
      <c r="K45" s="41" t="s">
        <v>104</v>
      </c>
      <c r="L45" s="41" t="s">
        <v>104</v>
      </c>
      <c r="M45" s="41">
        <v>42732</v>
      </c>
      <c r="N45" s="41">
        <v>42776</v>
      </c>
      <c r="O45" s="41">
        <v>42774</v>
      </c>
      <c r="P45" s="41">
        <v>42786</v>
      </c>
      <c r="Q45" s="41">
        <v>42825</v>
      </c>
      <c r="R45" s="97"/>
      <c r="S45" s="97"/>
      <c r="T45" s="38"/>
      <c r="U45" s="38"/>
    </row>
    <row r="46" spans="1:24" ht="15" customHeight="1" x14ac:dyDescent="0.15">
      <c r="A46" s="89">
        <v>2</v>
      </c>
      <c r="B46" s="110" t="s">
        <v>254</v>
      </c>
      <c r="C46" s="109" t="s">
        <v>207</v>
      </c>
      <c r="D46" s="94">
        <v>42663</v>
      </c>
      <c r="E46" s="41" t="s">
        <v>104</v>
      </c>
      <c r="F46" s="41" t="s">
        <v>104</v>
      </c>
      <c r="G46" s="41" t="s">
        <v>104</v>
      </c>
      <c r="H46" s="41" t="s">
        <v>104</v>
      </c>
      <c r="I46" s="41" t="s">
        <v>104</v>
      </c>
      <c r="J46" s="41" t="s">
        <v>104</v>
      </c>
      <c r="K46" s="41" t="s">
        <v>104</v>
      </c>
      <c r="L46" s="41" t="s">
        <v>104</v>
      </c>
      <c r="M46" s="41">
        <v>42692</v>
      </c>
      <c r="N46" s="41">
        <v>42744</v>
      </c>
      <c r="O46" s="41">
        <v>42747</v>
      </c>
      <c r="P46" s="41">
        <v>42778</v>
      </c>
      <c r="Q46" s="41">
        <v>42811</v>
      </c>
      <c r="R46" s="96" t="s">
        <v>252</v>
      </c>
      <c r="S46" s="96" t="s">
        <v>255</v>
      </c>
      <c r="T46" s="38"/>
      <c r="U46" s="38"/>
    </row>
    <row r="47" spans="1:24" ht="15" customHeight="1" x14ac:dyDescent="0.15">
      <c r="A47" s="90"/>
      <c r="B47" s="110"/>
      <c r="C47" s="108"/>
      <c r="D47" s="95"/>
      <c r="E47" s="41" t="s">
        <v>104</v>
      </c>
      <c r="F47" s="41" t="s">
        <v>104</v>
      </c>
      <c r="G47" s="41" t="s">
        <v>104</v>
      </c>
      <c r="H47" s="41" t="s">
        <v>104</v>
      </c>
      <c r="I47" s="41" t="s">
        <v>104</v>
      </c>
      <c r="J47" s="41" t="s">
        <v>104</v>
      </c>
      <c r="K47" s="41" t="s">
        <v>104</v>
      </c>
      <c r="L47" s="41" t="s">
        <v>104</v>
      </c>
      <c r="M47" s="41">
        <v>42686</v>
      </c>
      <c r="N47" s="41">
        <v>42744</v>
      </c>
      <c r="O47" s="41">
        <v>42747</v>
      </c>
      <c r="P47" s="41">
        <v>42778</v>
      </c>
      <c r="Q47" s="41">
        <v>42825</v>
      </c>
      <c r="R47" s="97"/>
      <c r="S47" s="97"/>
      <c r="T47" s="38"/>
      <c r="U47" s="38"/>
    </row>
    <row r="48" spans="1:24" ht="15" customHeight="1" x14ac:dyDescent="0.15">
      <c r="A48" s="90">
        <v>3</v>
      </c>
      <c r="B48" s="110" t="s">
        <v>256</v>
      </c>
      <c r="C48" s="109" t="s">
        <v>207</v>
      </c>
      <c r="D48" s="94">
        <v>42663</v>
      </c>
      <c r="E48" s="41" t="s">
        <v>104</v>
      </c>
      <c r="F48" s="41" t="s">
        <v>104</v>
      </c>
      <c r="G48" s="41" t="s">
        <v>104</v>
      </c>
      <c r="H48" s="41" t="s">
        <v>104</v>
      </c>
      <c r="I48" s="41" t="s">
        <v>104</v>
      </c>
      <c r="J48" s="41" t="s">
        <v>104</v>
      </c>
      <c r="K48" s="41" t="s">
        <v>104</v>
      </c>
      <c r="L48" s="41" t="s">
        <v>104</v>
      </c>
      <c r="M48" s="41">
        <v>42692</v>
      </c>
      <c r="N48" s="41">
        <v>42744</v>
      </c>
      <c r="O48" s="41">
        <v>42747</v>
      </c>
      <c r="P48" s="41">
        <v>42778</v>
      </c>
      <c r="Q48" s="41">
        <v>42811</v>
      </c>
      <c r="R48" s="96" t="s">
        <v>252</v>
      </c>
      <c r="S48" s="96" t="s">
        <v>257</v>
      </c>
      <c r="T48" s="38"/>
      <c r="U48" s="38"/>
    </row>
    <row r="49" spans="1:21" ht="15" customHeight="1" x14ac:dyDescent="0.15">
      <c r="A49" s="90"/>
      <c r="B49" s="110"/>
      <c r="C49" s="108"/>
      <c r="D49" s="95"/>
      <c r="E49" s="41" t="s">
        <v>104</v>
      </c>
      <c r="F49" s="41" t="s">
        <v>104</v>
      </c>
      <c r="G49" s="41" t="s">
        <v>104</v>
      </c>
      <c r="H49" s="41" t="s">
        <v>104</v>
      </c>
      <c r="I49" s="41" t="s">
        <v>104</v>
      </c>
      <c r="J49" s="41" t="s">
        <v>104</v>
      </c>
      <c r="K49" s="41" t="s">
        <v>104</v>
      </c>
      <c r="L49" s="41" t="s">
        <v>104</v>
      </c>
      <c r="M49" s="41">
        <v>42686</v>
      </c>
      <c r="N49" s="41">
        <v>42744</v>
      </c>
      <c r="O49" s="41">
        <v>42747</v>
      </c>
      <c r="P49" s="41">
        <v>42778</v>
      </c>
      <c r="Q49" s="41">
        <v>42825</v>
      </c>
      <c r="R49" s="97"/>
      <c r="S49" s="97"/>
      <c r="T49" s="38"/>
      <c r="U49" s="38"/>
    </row>
    <row r="50" spans="1:21" ht="25.5" customHeight="1" x14ac:dyDescent="0.15">
      <c r="A50" s="89">
        <v>4</v>
      </c>
      <c r="B50" s="110" t="s">
        <v>258</v>
      </c>
      <c r="C50" s="109" t="s">
        <v>207</v>
      </c>
      <c r="D50" s="94">
        <v>42727</v>
      </c>
      <c r="E50" s="41">
        <v>42734</v>
      </c>
      <c r="F50" s="41">
        <v>42740</v>
      </c>
      <c r="G50" s="41">
        <v>42746</v>
      </c>
      <c r="H50" s="41">
        <v>42750</v>
      </c>
      <c r="I50" s="41">
        <v>42745</v>
      </c>
      <c r="J50" s="41">
        <v>42780</v>
      </c>
      <c r="K50" s="41" t="s">
        <v>104</v>
      </c>
      <c r="L50" s="41" t="s">
        <v>104</v>
      </c>
      <c r="M50" s="41">
        <v>42801</v>
      </c>
      <c r="N50" s="41">
        <v>42827</v>
      </c>
      <c r="O50" s="41">
        <v>42795</v>
      </c>
      <c r="P50" s="41">
        <v>42795</v>
      </c>
      <c r="Q50" s="41">
        <v>42832</v>
      </c>
      <c r="R50" s="96" t="s">
        <v>259</v>
      </c>
      <c r="S50" s="96" t="s">
        <v>257</v>
      </c>
      <c r="T50" s="38"/>
      <c r="U50" s="38"/>
    </row>
    <row r="51" spans="1:21" ht="25.5" customHeight="1" x14ac:dyDescent="0.15">
      <c r="A51" s="90"/>
      <c r="B51" s="110"/>
      <c r="C51" s="108"/>
      <c r="D51" s="95"/>
      <c r="E51" s="41">
        <v>42734</v>
      </c>
      <c r="F51" s="41">
        <v>42740</v>
      </c>
      <c r="G51" s="41">
        <v>42746</v>
      </c>
      <c r="H51" s="41">
        <v>42750</v>
      </c>
      <c r="I51" s="41">
        <v>42745</v>
      </c>
      <c r="J51" s="41">
        <v>42782</v>
      </c>
      <c r="K51" s="41" t="s">
        <v>104</v>
      </c>
      <c r="L51" s="41" t="s">
        <v>104</v>
      </c>
      <c r="M51" s="41">
        <v>42772</v>
      </c>
      <c r="N51" s="41">
        <v>42793</v>
      </c>
      <c r="O51" s="41">
        <v>42794</v>
      </c>
      <c r="P51" s="41">
        <v>42795</v>
      </c>
      <c r="Q51" s="41">
        <v>42832</v>
      </c>
      <c r="R51" s="97"/>
      <c r="S51" s="97"/>
      <c r="T51" s="38"/>
      <c r="U51" s="38"/>
    </row>
    <row r="52" spans="1:21" ht="21.75" customHeight="1" x14ac:dyDescent="0.15">
      <c r="A52" s="90">
        <v>5</v>
      </c>
      <c r="B52" s="116" t="s">
        <v>260</v>
      </c>
      <c r="C52" s="109" t="s">
        <v>261</v>
      </c>
      <c r="D52" s="94">
        <v>42823</v>
      </c>
      <c r="E52" s="41" t="s">
        <v>104</v>
      </c>
      <c r="F52" s="41" t="s">
        <v>104</v>
      </c>
      <c r="G52" s="41" t="s">
        <v>104</v>
      </c>
      <c r="H52" s="41" t="s">
        <v>104</v>
      </c>
      <c r="I52" s="41" t="s">
        <v>104</v>
      </c>
      <c r="J52" s="41" t="s">
        <v>104</v>
      </c>
      <c r="K52" s="41" t="s">
        <v>104</v>
      </c>
      <c r="L52" s="41" t="s">
        <v>104</v>
      </c>
      <c r="M52" s="41" t="s">
        <v>104</v>
      </c>
      <c r="N52" s="41" t="s">
        <v>104</v>
      </c>
      <c r="O52" s="41" t="s">
        <v>104</v>
      </c>
      <c r="P52" s="41">
        <v>42831</v>
      </c>
      <c r="Q52" s="41" t="s">
        <v>104</v>
      </c>
      <c r="R52" s="96" t="s">
        <v>262</v>
      </c>
      <c r="S52" s="96" t="s">
        <v>263</v>
      </c>
      <c r="T52" s="38"/>
      <c r="U52" s="38"/>
    </row>
    <row r="53" spans="1:21" ht="21.75" customHeight="1" x14ac:dyDescent="0.15">
      <c r="A53" s="90"/>
      <c r="B53" s="116"/>
      <c r="C53" s="108"/>
      <c r="D53" s="95"/>
      <c r="E53" s="41" t="s">
        <v>104</v>
      </c>
      <c r="F53" s="41" t="s">
        <v>104</v>
      </c>
      <c r="G53" s="41" t="s">
        <v>104</v>
      </c>
      <c r="H53" s="41" t="s">
        <v>104</v>
      </c>
      <c r="I53" s="41" t="s">
        <v>104</v>
      </c>
      <c r="J53" s="41" t="s">
        <v>104</v>
      </c>
      <c r="K53" s="41" t="s">
        <v>104</v>
      </c>
      <c r="L53" s="41" t="s">
        <v>104</v>
      </c>
      <c r="M53" s="41" t="s">
        <v>104</v>
      </c>
      <c r="N53" s="41" t="s">
        <v>104</v>
      </c>
      <c r="O53" s="41" t="s">
        <v>104</v>
      </c>
      <c r="P53" s="41">
        <v>42831</v>
      </c>
      <c r="Q53" s="41" t="s">
        <v>104</v>
      </c>
      <c r="R53" s="97"/>
      <c r="S53" s="97"/>
      <c r="T53" s="38"/>
      <c r="U53" s="38"/>
    </row>
    <row r="54" spans="1:21" ht="21.75" customHeight="1" x14ac:dyDescent="0.15">
      <c r="A54" s="89">
        <v>6</v>
      </c>
      <c r="B54" s="116" t="s">
        <v>264</v>
      </c>
      <c r="C54" s="109" t="s">
        <v>261</v>
      </c>
      <c r="D54" s="94">
        <v>42831</v>
      </c>
      <c r="E54" s="41" t="s">
        <v>104</v>
      </c>
      <c r="F54" s="41" t="s">
        <v>104</v>
      </c>
      <c r="G54" s="41" t="s">
        <v>104</v>
      </c>
      <c r="H54" s="41" t="s">
        <v>104</v>
      </c>
      <c r="I54" s="41" t="s">
        <v>104</v>
      </c>
      <c r="J54" s="41" t="s">
        <v>104</v>
      </c>
      <c r="K54" s="41" t="s">
        <v>104</v>
      </c>
      <c r="L54" s="41" t="s">
        <v>104</v>
      </c>
      <c r="M54" s="41" t="s">
        <v>104</v>
      </c>
      <c r="N54" s="41" t="s">
        <v>104</v>
      </c>
      <c r="O54" s="41" t="s">
        <v>104</v>
      </c>
      <c r="P54" s="41">
        <v>42835</v>
      </c>
      <c r="Q54" s="41" t="s">
        <v>104</v>
      </c>
      <c r="R54" s="96" t="s">
        <v>265</v>
      </c>
      <c r="S54" s="96" t="s">
        <v>266</v>
      </c>
      <c r="T54" s="38"/>
      <c r="U54" s="38"/>
    </row>
    <row r="55" spans="1:21" ht="21.75" customHeight="1" x14ac:dyDescent="0.15">
      <c r="A55" s="90"/>
      <c r="B55" s="116"/>
      <c r="C55" s="108"/>
      <c r="D55" s="95"/>
      <c r="E55" s="41" t="s">
        <v>104</v>
      </c>
      <c r="F55" s="41" t="s">
        <v>104</v>
      </c>
      <c r="G55" s="41" t="s">
        <v>104</v>
      </c>
      <c r="H55" s="41" t="s">
        <v>104</v>
      </c>
      <c r="I55" s="41" t="s">
        <v>104</v>
      </c>
      <c r="J55" s="41" t="s">
        <v>104</v>
      </c>
      <c r="K55" s="41" t="s">
        <v>104</v>
      </c>
      <c r="L55" s="41" t="s">
        <v>104</v>
      </c>
      <c r="M55" s="41" t="s">
        <v>104</v>
      </c>
      <c r="N55" s="41" t="s">
        <v>104</v>
      </c>
      <c r="O55" s="41" t="s">
        <v>104</v>
      </c>
      <c r="P55" s="41">
        <v>42839</v>
      </c>
      <c r="Q55" s="41" t="s">
        <v>104</v>
      </c>
      <c r="R55" s="97"/>
      <c r="S55" s="97"/>
      <c r="T55" s="38"/>
      <c r="U55" s="38"/>
    </row>
    <row r="56" spans="1:21" ht="21.75" customHeight="1" x14ac:dyDescent="0.15">
      <c r="A56" s="90">
        <v>7</v>
      </c>
      <c r="B56" s="110" t="s">
        <v>267</v>
      </c>
      <c r="C56" s="109" t="s">
        <v>268</v>
      </c>
      <c r="D56" s="94">
        <v>42786</v>
      </c>
      <c r="E56" s="41">
        <v>42797</v>
      </c>
      <c r="F56" s="41">
        <v>42801</v>
      </c>
      <c r="G56" s="41">
        <v>42809</v>
      </c>
      <c r="H56" s="41">
        <v>42815</v>
      </c>
      <c r="I56" s="41">
        <v>42801</v>
      </c>
      <c r="J56" s="41">
        <v>42838</v>
      </c>
      <c r="K56" s="41"/>
      <c r="L56" s="41"/>
      <c r="M56" s="41">
        <v>42821</v>
      </c>
      <c r="N56" s="41">
        <v>42830</v>
      </c>
      <c r="O56" s="41" t="s">
        <v>104</v>
      </c>
      <c r="P56" s="41">
        <v>42801</v>
      </c>
      <c r="Q56" s="41">
        <v>42839</v>
      </c>
      <c r="R56" s="96" t="s">
        <v>269</v>
      </c>
      <c r="S56" s="96" t="s">
        <v>270</v>
      </c>
      <c r="T56" s="38"/>
      <c r="U56" s="38"/>
    </row>
    <row r="57" spans="1:21" ht="21.75" customHeight="1" x14ac:dyDescent="0.15">
      <c r="A57" s="90"/>
      <c r="B57" s="110"/>
      <c r="C57" s="108"/>
      <c r="D57" s="95"/>
      <c r="E57" s="41">
        <v>42797</v>
      </c>
      <c r="F57" s="41">
        <v>42801</v>
      </c>
      <c r="G57" s="41">
        <v>42809</v>
      </c>
      <c r="H57" s="41">
        <v>42814</v>
      </c>
      <c r="I57" s="41">
        <v>42801</v>
      </c>
      <c r="J57" s="41">
        <v>42838</v>
      </c>
      <c r="K57" s="41" t="str">
        <f ca="1">IF(K56="","注意",IF(K56=TODAY(),"预警",IF(K56&lt;TODAY(),"延期","")))</f>
        <v>注意</v>
      </c>
      <c r="L57" s="41" t="str">
        <f ca="1">IF(L56="","注意",IF(L56=TODAY(),"预警",IF(L56&lt;TODAY(),"延期","")))</f>
        <v>注意</v>
      </c>
      <c r="M57" s="41">
        <v>42815</v>
      </c>
      <c r="N57" s="41">
        <v>42826</v>
      </c>
      <c r="O57" s="41" t="s">
        <v>104</v>
      </c>
      <c r="P57" s="41">
        <v>42801</v>
      </c>
      <c r="Q57" s="41">
        <v>42843</v>
      </c>
      <c r="R57" s="97"/>
      <c r="S57" s="97"/>
      <c r="T57" s="38"/>
      <c r="U57" s="38"/>
    </row>
    <row r="58" spans="1:21" ht="21.75" customHeight="1" x14ac:dyDescent="0.15">
      <c r="A58" s="89">
        <v>8</v>
      </c>
      <c r="B58" s="110" t="s">
        <v>271</v>
      </c>
      <c r="C58" s="109" t="s">
        <v>207</v>
      </c>
      <c r="D58" s="94">
        <v>42781</v>
      </c>
      <c r="E58" s="41">
        <v>42786</v>
      </c>
      <c r="F58" s="41">
        <v>42789</v>
      </c>
      <c r="G58" s="41">
        <v>42808</v>
      </c>
      <c r="H58" s="41">
        <v>42816</v>
      </c>
      <c r="I58" s="41">
        <v>42789</v>
      </c>
      <c r="J58" s="41">
        <v>42817</v>
      </c>
      <c r="K58" s="41">
        <v>42789</v>
      </c>
      <c r="L58" s="41">
        <v>42811</v>
      </c>
      <c r="M58" s="41">
        <v>42824</v>
      </c>
      <c r="N58" s="41">
        <v>42839</v>
      </c>
      <c r="O58" s="41" t="s">
        <v>104</v>
      </c>
      <c r="P58" s="41">
        <v>42794</v>
      </c>
      <c r="Q58" s="41">
        <v>42852</v>
      </c>
      <c r="R58" s="96" t="s">
        <v>272</v>
      </c>
      <c r="S58" s="96" t="s">
        <v>270</v>
      </c>
      <c r="T58" s="38"/>
      <c r="U58" s="38"/>
    </row>
    <row r="59" spans="1:21" ht="21.75" customHeight="1" x14ac:dyDescent="0.15">
      <c r="A59" s="90"/>
      <c r="B59" s="110"/>
      <c r="C59" s="108"/>
      <c r="D59" s="95"/>
      <c r="E59" s="41">
        <v>42786</v>
      </c>
      <c r="F59" s="41">
        <v>42789</v>
      </c>
      <c r="G59" s="41">
        <v>42808</v>
      </c>
      <c r="H59" s="41">
        <v>42817</v>
      </c>
      <c r="I59" s="41">
        <v>42789</v>
      </c>
      <c r="J59" s="41">
        <v>42819</v>
      </c>
      <c r="K59" s="41">
        <v>42789</v>
      </c>
      <c r="L59" s="41">
        <v>42811</v>
      </c>
      <c r="M59" s="41">
        <v>42821</v>
      </c>
      <c r="N59" s="41">
        <v>42836</v>
      </c>
      <c r="O59" s="41" t="s">
        <v>104</v>
      </c>
      <c r="P59" s="41">
        <v>42794</v>
      </c>
      <c r="Q59" s="41">
        <v>42850</v>
      </c>
      <c r="R59" s="97"/>
      <c r="S59" s="97"/>
      <c r="T59" s="38"/>
      <c r="U59" s="38"/>
    </row>
    <row r="60" spans="1:21" ht="18.75" customHeight="1" x14ac:dyDescent="0.15">
      <c r="A60" s="89">
        <v>9</v>
      </c>
      <c r="B60" s="110" t="s">
        <v>273</v>
      </c>
      <c r="C60" s="109" t="s">
        <v>207</v>
      </c>
      <c r="D60" s="94">
        <v>42655</v>
      </c>
      <c r="E60" s="41" t="s">
        <v>104</v>
      </c>
      <c r="F60" s="41" t="s">
        <v>104</v>
      </c>
      <c r="G60" s="41" t="s">
        <v>104</v>
      </c>
      <c r="H60" s="41" t="s">
        <v>104</v>
      </c>
      <c r="I60" s="41" t="s">
        <v>104</v>
      </c>
      <c r="J60" s="41" t="s">
        <v>104</v>
      </c>
      <c r="K60" s="41" t="s">
        <v>104</v>
      </c>
      <c r="L60" s="41" t="s">
        <v>104</v>
      </c>
      <c r="M60" s="41">
        <v>42716</v>
      </c>
      <c r="N60" s="41">
        <v>42744</v>
      </c>
      <c r="O60" s="41">
        <v>42747</v>
      </c>
      <c r="P60" s="41">
        <v>42752</v>
      </c>
      <c r="Q60" s="41">
        <v>42839</v>
      </c>
      <c r="R60" s="96" t="s">
        <v>274</v>
      </c>
      <c r="S60" s="96" t="s">
        <v>275</v>
      </c>
      <c r="T60" s="38"/>
      <c r="U60" s="38"/>
    </row>
    <row r="61" spans="1:21" ht="30.75" customHeight="1" x14ac:dyDescent="0.15">
      <c r="A61" s="90"/>
      <c r="B61" s="110"/>
      <c r="C61" s="108"/>
      <c r="D61" s="95"/>
      <c r="E61" s="41" t="s">
        <v>104</v>
      </c>
      <c r="F61" s="41" t="s">
        <v>104</v>
      </c>
      <c r="G61" s="41" t="s">
        <v>104</v>
      </c>
      <c r="H61" s="41" t="s">
        <v>104</v>
      </c>
      <c r="I61" s="41" t="s">
        <v>104</v>
      </c>
      <c r="J61" s="41" t="s">
        <v>104</v>
      </c>
      <c r="K61" s="41" t="s">
        <v>104</v>
      </c>
      <c r="L61" s="41" t="s">
        <v>104</v>
      </c>
      <c r="M61" s="41">
        <v>42716</v>
      </c>
      <c r="N61" s="41">
        <v>42744</v>
      </c>
      <c r="O61" s="41">
        <v>42747</v>
      </c>
      <c r="P61" s="41">
        <v>42795</v>
      </c>
      <c r="Q61" s="41">
        <v>42852</v>
      </c>
      <c r="R61" s="97"/>
      <c r="S61" s="97"/>
      <c r="T61" s="38"/>
      <c r="U61" s="38"/>
    </row>
    <row r="62" spans="1:21" ht="25.5" customHeight="1" x14ac:dyDescent="0.15">
      <c r="A62" s="90">
        <v>10</v>
      </c>
      <c r="B62" s="110" t="s">
        <v>276</v>
      </c>
      <c r="C62" s="109" t="s">
        <v>207</v>
      </c>
      <c r="D62" s="94">
        <v>42655</v>
      </c>
      <c r="E62" s="41" t="s">
        <v>104</v>
      </c>
      <c r="F62" s="41" t="s">
        <v>104</v>
      </c>
      <c r="G62" s="41" t="s">
        <v>104</v>
      </c>
      <c r="H62" s="41" t="s">
        <v>104</v>
      </c>
      <c r="I62" s="41" t="s">
        <v>104</v>
      </c>
      <c r="J62" s="41" t="s">
        <v>104</v>
      </c>
      <c r="K62" s="41" t="s">
        <v>104</v>
      </c>
      <c r="L62" s="41" t="s">
        <v>104</v>
      </c>
      <c r="M62" s="41">
        <v>42716</v>
      </c>
      <c r="N62" s="41">
        <v>42744</v>
      </c>
      <c r="O62" s="41">
        <v>42747</v>
      </c>
      <c r="P62" s="41">
        <v>42790</v>
      </c>
      <c r="Q62" s="41">
        <v>42839</v>
      </c>
      <c r="R62" s="96" t="s">
        <v>274</v>
      </c>
      <c r="S62" s="96" t="s">
        <v>275</v>
      </c>
      <c r="T62" s="38"/>
      <c r="U62" s="38"/>
    </row>
    <row r="63" spans="1:21" ht="25.5" customHeight="1" x14ac:dyDescent="0.15">
      <c r="A63" s="90"/>
      <c r="B63" s="110"/>
      <c r="C63" s="108"/>
      <c r="D63" s="95"/>
      <c r="E63" s="41" t="s">
        <v>104</v>
      </c>
      <c r="F63" s="41" t="s">
        <v>104</v>
      </c>
      <c r="G63" s="41" t="s">
        <v>104</v>
      </c>
      <c r="H63" s="41" t="s">
        <v>104</v>
      </c>
      <c r="I63" s="41" t="s">
        <v>104</v>
      </c>
      <c r="J63" s="41" t="s">
        <v>104</v>
      </c>
      <c r="K63" s="41" t="s">
        <v>104</v>
      </c>
      <c r="L63" s="41" t="s">
        <v>104</v>
      </c>
      <c r="M63" s="41">
        <v>42716</v>
      </c>
      <c r="N63" s="41">
        <v>42744</v>
      </c>
      <c r="O63" s="41">
        <v>42747</v>
      </c>
      <c r="P63" s="41">
        <v>42795</v>
      </c>
      <c r="Q63" s="41">
        <v>42852</v>
      </c>
      <c r="R63" s="97"/>
      <c r="S63" s="97"/>
      <c r="T63" s="38"/>
      <c r="U63" s="38"/>
    </row>
    <row r="64" spans="1:21" ht="20.25" customHeight="1" x14ac:dyDescent="0.15">
      <c r="A64" s="89">
        <v>11</v>
      </c>
      <c r="B64" s="110" t="s">
        <v>277</v>
      </c>
      <c r="C64" s="109" t="s">
        <v>207</v>
      </c>
      <c r="D64" s="94">
        <v>42730</v>
      </c>
      <c r="E64" s="41">
        <v>42776</v>
      </c>
      <c r="F64" s="41">
        <v>42752</v>
      </c>
      <c r="G64" s="41">
        <v>42771</v>
      </c>
      <c r="H64" s="41">
        <v>42776</v>
      </c>
      <c r="I64" s="41">
        <v>42752</v>
      </c>
      <c r="J64" s="41">
        <v>42781</v>
      </c>
      <c r="K64" s="41" t="s">
        <v>278</v>
      </c>
      <c r="L64" s="41" t="s">
        <v>278</v>
      </c>
      <c r="M64" s="41">
        <v>42815</v>
      </c>
      <c r="N64" s="41">
        <v>42808</v>
      </c>
      <c r="O64" s="41">
        <v>42807</v>
      </c>
      <c r="P64" s="41">
        <v>42809</v>
      </c>
      <c r="Q64" s="41">
        <v>42845</v>
      </c>
      <c r="R64" s="96" t="s">
        <v>259</v>
      </c>
      <c r="S64" s="96" t="s">
        <v>115</v>
      </c>
      <c r="T64" s="38"/>
      <c r="U64" s="38"/>
    </row>
    <row r="65" spans="1:22" ht="20.25" customHeight="1" x14ac:dyDescent="0.15">
      <c r="A65" s="90"/>
      <c r="B65" s="110"/>
      <c r="C65" s="108"/>
      <c r="D65" s="95"/>
      <c r="E65" s="41">
        <v>42747</v>
      </c>
      <c r="F65" s="41">
        <v>42752</v>
      </c>
      <c r="G65" s="41">
        <v>42771</v>
      </c>
      <c r="H65" s="41">
        <v>42776</v>
      </c>
      <c r="I65" s="41">
        <v>42772</v>
      </c>
      <c r="J65" s="41">
        <v>42789</v>
      </c>
      <c r="K65" s="41" t="s">
        <v>278</v>
      </c>
      <c r="L65" s="41" t="s">
        <v>278</v>
      </c>
      <c r="M65" s="41">
        <v>42794</v>
      </c>
      <c r="N65" s="41">
        <v>42807</v>
      </c>
      <c r="O65" s="41">
        <v>42807</v>
      </c>
      <c r="P65" s="41">
        <v>42818</v>
      </c>
      <c r="Q65" s="41">
        <v>42863</v>
      </c>
      <c r="R65" s="97"/>
      <c r="S65" s="97"/>
      <c r="T65" s="38"/>
      <c r="U65" s="38"/>
    </row>
    <row r="66" spans="1:22" ht="21.75" customHeight="1" x14ac:dyDescent="0.15">
      <c r="A66" s="90">
        <v>12</v>
      </c>
      <c r="B66" s="116" t="s">
        <v>279</v>
      </c>
      <c r="C66" s="109" t="s">
        <v>207</v>
      </c>
      <c r="D66" s="94">
        <v>42796</v>
      </c>
      <c r="E66" s="41">
        <v>42803</v>
      </c>
      <c r="F66" s="41">
        <v>42807</v>
      </c>
      <c r="G66" s="41">
        <v>42816</v>
      </c>
      <c r="H66" s="41">
        <v>42823</v>
      </c>
      <c r="I66" s="41">
        <v>42808</v>
      </c>
      <c r="J66" s="41">
        <v>42835</v>
      </c>
      <c r="K66" s="41">
        <v>42808</v>
      </c>
      <c r="L66" s="41">
        <v>42835</v>
      </c>
      <c r="M66" s="41">
        <v>42828</v>
      </c>
      <c r="N66" s="41">
        <v>42839</v>
      </c>
      <c r="O66" s="41" t="s">
        <v>104</v>
      </c>
      <c r="P66" s="41">
        <v>42808</v>
      </c>
      <c r="Q66" s="41">
        <v>42846</v>
      </c>
      <c r="R66" s="96" t="s">
        <v>280</v>
      </c>
      <c r="S66" s="96" t="s">
        <v>281</v>
      </c>
      <c r="T66" s="38"/>
      <c r="U66" s="38"/>
    </row>
    <row r="67" spans="1:22" ht="21.75" customHeight="1" x14ac:dyDescent="0.15">
      <c r="A67" s="90"/>
      <c r="B67" s="116"/>
      <c r="C67" s="108"/>
      <c r="D67" s="95"/>
      <c r="E67" s="41">
        <v>42803</v>
      </c>
      <c r="F67" s="41">
        <v>42807</v>
      </c>
      <c r="G67" s="41">
        <v>42816</v>
      </c>
      <c r="H67" s="41">
        <v>42823</v>
      </c>
      <c r="I67" s="41">
        <v>42808</v>
      </c>
      <c r="J67" s="41">
        <v>42863</v>
      </c>
      <c r="K67" s="41">
        <v>42808</v>
      </c>
      <c r="L67" s="41">
        <v>42863</v>
      </c>
      <c r="M67" s="41">
        <v>42831</v>
      </c>
      <c r="N67" s="41">
        <v>42839</v>
      </c>
      <c r="O67" s="41" t="s">
        <v>104</v>
      </c>
      <c r="P67" s="41">
        <v>42808</v>
      </c>
      <c r="Q67" s="41">
        <v>42866</v>
      </c>
      <c r="R67" s="97"/>
      <c r="S67" s="97"/>
      <c r="T67" s="38"/>
      <c r="U67" s="38"/>
    </row>
    <row r="68" spans="1:22" ht="21.75" customHeight="1" x14ac:dyDescent="0.15">
      <c r="A68" s="89">
        <v>13</v>
      </c>
      <c r="B68" s="116" t="s">
        <v>282</v>
      </c>
      <c r="C68" s="109" t="s">
        <v>102</v>
      </c>
      <c r="D68" s="94">
        <v>42808</v>
      </c>
      <c r="E68" s="41">
        <v>42816</v>
      </c>
      <c r="F68" s="41">
        <v>42816</v>
      </c>
      <c r="G68" s="41">
        <v>42836</v>
      </c>
      <c r="H68" s="41">
        <v>42843</v>
      </c>
      <c r="I68" s="41">
        <v>42823</v>
      </c>
      <c r="J68" s="41">
        <v>42849</v>
      </c>
      <c r="K68" s="41">
        <v>42823</v>
      </c>
      <c r="L68" s="41">
        <v>42796</v>
      </c>
      <c r="M68" s="41">
        <v>42850</v>
      </c>
      <c r="N68" s="41">
        <v>42863</v>
      </c>
      <c r="O68" s="41" t="s">
        <v>104</v>
      </c>
      <c r="P68" s="41">
        <v>42824</v>
      </c>
      <c r="Q68" s="60">
        <v>42871</v>
      </c>
      <c r="R68" s="96" t="s">
        <v>283</v>
      </c>
      <c r="S68" s="96" t="s">
        <v>284</v>
      </c>
      <c r="T68" s="38"/>
      <c r="U68" s="38"/>
    </row>
    <row r="69" spans="1:22" ht="21.75" customHeight="1" x14ac:dyDescent="0.15">
      <c r="A69" s="90"/>
      <c r="B69" s="116"/>
      <c r="C69" s="108"/>
      <c r="D69" s="95"/>
      <c r="E69" s="41">
        <v>42816</v>
      </c>
      <c r="F69" s="41">
        <v>42816</v>
      </c>
      <c r="G69" s="41">
        <v>42836</v>
      </c>
      <c r="H69" s="41">
        <v>42850</v>
      </c>
      <c r="I69" s="41">
        <v>42823</v>
      </c>
      <c r="J69" s="41">
        <v>42854</v>
      </c>
      <c r="K69" s="41">
        <v>42823</v>
      </c>
      <c r="L69" s="41">
        <v>42823</v>
      </c>
      <c r="M69" s="41">
        <v>42852</v>
      </c>
      <c r="N69" s="41">
        <v>42863</v>
      </c>
      <c r="O69" s="41" t="s">
        <v>104</v>
      </c>
      <c r="P69" s="41">
        <v>42824</v>
      </c>
      <c r="Q69" s="41">
        <v>42880</v>
      </c>
      <c r="R69" s="97"/>
      <c r="S69" s="97"/>
      <c r="T69" s="38"/>
      <c r="U69" s="38"/>
    </row>
    <row r="70" spans="1:22" ht="21.75" customHeight="1" x14ac:dyDescent="0.15">
      <c r="A70" s="90">
        <v>14</v>
      </c>
      <c r="B70" s="116" t="s">
        <v>285</v>
      </c>
      <c r="C70" s="109" t="s">
        <v>102</v>
      </c>
      <c r="D70" s="94">
        <v>42808</v>
      </c>
      <c r="E70" s="41">
        <v>42816</v>
      </c>
      <c r="F70" s="41">
        <v>42816</v>
      </c>
      <c r="G70" s="41">
        <v>42836</v>
      </c>
      <c r="H70" s="41">
        <v>42843</v>
      </c>
      <c r="I70" s="41">
        <v>42823</v>
      </c>
      <c r="J70" s="41">
        <v>42849</v>
      </c>
      <c r="K70" s="41">
        <v>42823</v>
      </c>
      <c r="L70" s="41">
        <v>42796</v>
      </c>
      <c r="M70" s="41">
        <v>42850</v>
      </c>
      <c r="N70" s="41">
        <v>42863</v>
      </c>
      <c r="O70" s="41" t="s">
        <v>104</v>
      </c>
      <c r="P70" s="41">
        <v>42824</v>
      </c>
      <c r="Q70" s="60">
        <v>42871</v>
      </c>
      <c r="R70" s="96" t="s">
        <v>283</v>
      </c>
      <c r="S70" s="96" t="s">
        <v>284</v>
      </c>
      <c r="T70" s="38"/>
      <c r="U70" s="38"/>
    </row>
    <row r="71" spans="1:22" ht="21.75" customHeight="1" x14ac:dyDescent="0.15">
      <c r="A71" s="90"/>
      <c r="B71" s="116"/>
      <c r="C71" s="108"/>
      <c r="D71" s="95"/>
      <c r="E71" s="41">
        <v>42816</v>
      </c>
      <c r="F71" s="41">
        <v>42816</v>
      </c>
      <c r="G71" s="41">
        <v>42836</v>
      </c>
      <c r="H71" s="41">
        <v>42846</v>
      </c>
      <c r="I71" s="41">
        <v>42823</v>
      </c>
      <c r="J71" s="41">
        <v>42854</v>
      </c>
      <c r="K71" s="41">
        <v>42823</v>
      </c>
      <c r="L71" s="41">
        <v>42823</v>
      </c>
      <c r="M71" s="41">
        <v>42852</v>
      </c>
      <c r="N71" s="41">
        <v>42863</v>
      </c>
      <c r="O71" s="41" t="s">
        <v>104</v>
      </c>
      <c r="P71" s="41">
        <v>42824</v>
      </c>
      <c r="Q71" s="41">
        <v>42880</v>
      </c>
      <c r="R71" s="97"/>
      <c r="S71" s="97"/>
      <c r="T71" s="38"/>
      <c r="U71" s="38"/>
    </row>
    <row r="72" spans="1:22" ht="21.75" customHeight="1" x14ac:dyDescent="0.15">
      <c r="A72" s="89">
        <v>15</v>
      </c>
      <c r="B72" s="116" t="s">
        <v>286</v>
      </c>
      <c r="C72" s="92" t="s">
        <v>102</v>
      </c>
      <c r="D72" s="94">
        <v>42842</v>
      </c>
      <c r="E72" s="41">
        <v>42850</v>
      </c>
      <c r="F72" s="41">
        <v>42852</v>
      </c>
      <c r="G72" s="41">
        <v>42860</v>
      </c>
      <c r="H72" s="41">
        <v>42865</v>
      </c>
      <c r="I72" s="41" t="s">
        <v>104</v>
      </c>
      <c r="J72" s="41" t="s">
        <v>104</v>
      </c>
      <c r="K72" s="41" t="s">
        <v>104</v>
      </c>
      <c r="L72" s="41" t="s">
        <v>104</v>
      </c>
      <c r="M72" s="41">
        <v>42867</v>
      </c>
      <c r="N72" s="41" t="s">
        <v>104</v>
      </c>
      <c r="O72" s="41" t="s">
        <v>104</v>
      </c>
      <c r="P72" s="41">
        <v>42879</v>
      </c>
      <c r="Q72" s="41" t="s">
        <v>104</v>
      </c>
      <c r="R72" s="96" t="s">
        <v>287</v>
      </c>
      <c r="S72" s="96" t="s">
        <v>220</v>
      </c>
      <c r="T72" s="92">
        <v>1</v>
      </c>
      <c r="U72" s="38"/>
      <c r="V72" s="38"/>
    </row>
    <row r="73" spans="1:22" ht="21.75" customHeight="1" x14ac:dyDescent="0.15">
      <c r="A73" s="90"/>
      <c r="B73" s="116"/>
      <c r="C73" s="93"/>
      <c r="D73" s="95"/>
      <c r="E73" s="41">
        <v>42850</v>
      </c>
      <c r="F73" s="41">
        <v>42851</v>
      </c>
      <c r="G73" s="41">
        <v>42858</v>
      </c>
      <c r="H73" s="41">
        <v>42859</v>
      </c>
      <c r="I73" s="41" t="s">
        <v>104</v>
      </c>
      <c r="J73" s="41" t="s">
        <v>104</v>
      </c>
      <c r="K73" s="41" t="s">
        <v>104</v>
      </c>
      <c r="L73" s="41" t="s">
        <v>104</v>
      </c>
      <c r="M73" s="41">
        <v>42867</v>
      </c>
      <c r="N73" s="41" t="s">
        <v>104</v>
      </c>
      <c r="O73" s="41" t="s">
        <v>104</v>
      </c>
      <c r="P73" s="41">
        <v>42879</v>
      </c>
      <c r="Q73" s="41" t="s">
        <v>104</v>
      </c>
      <c r="R73" s="97"/>
      <c r="S73" s="97"/>
      <c r="T73" s="93"/>
      <c r="U73" s="38"/>
      <c r="V73" s="38"/>
    </row>
    <row r="74" spans="1:22" ht="21.75" customHeight="1" x14ac:dyDescent="0.15">
      <c r="A74" s="90">
        <v>16</v>
      </c>
      <c r="B74" s="116" t="s">
        <v>288</v>
      </c>
      <c r="C74" s="109" t="s">
        <v>102</v>
      </c>
      <c r="D74" s="94">
        <v>42825</v>
      </c>
      <c r="E74" s="41">
        <v>42832</v>
      </c>
      <c r="F74" s="41">
        <v>42837</v>
      </c>
      <c r="G74" s="41">
        <v>42849</v>
      </c>
      <c r="H74" s="41">
        <v>42857</v>
      </c>
      <c r="I74" s="41">
        <v>42836</v>
      </c>
      <c r="J74" s="41">
        <v>42863</v>
      </c>
      <c r="K74" s="41">
        <v>42837</v>
      </c>
      <c r="L74" s="41">
        <v>42863</v>
      </c>
      <c r="M74" s="41">
        <v>42839</v>
      </c>
      <c r="N74" s="41">
        <v>42870</v>
      </c>
      <c r="O74" s="41" t="s">
        <v>104</v>
      </c>
      <c r="P74" s="41">
        <v>42839</v>
      </c>
      <c r="Q74" s="41">
        <v>42884</v>
      </c>
      <c r="R74" s="96" t="s">
        <v>289</v>
      </c>
      <c r="S74" s="96" t="s">
        <v>284</v>
      </c>
      <c r="T74" s="109">
        <v>1</v>
      </c>
      <c r="U74" s="38"/>
      <c r="V74" s="38"/>
    </row>
    <row r="75" spans="1:22" ht="21.75" customHeight="1" x14ac:dyDescent="0.15">
      <c r="A75" s="90"/>
      <c r="B75" s="116"/>
      <c r="C75" s="108"/>
      <c r="D75" s="95"/>
      <c r="E75" s="41">
        <v>42832</v>
      </c>
      <c r="F75" s="41">
        <v>42837</v>
      </c>
      <c r="G75" s="41">
        <v>42849</v>
      </c>
      <c r="H75" s="41">
        <v>42867</v>
      </c>
      <c r="I75" s="41">
        <v>42836</v>
      </c>
      <c r="J75" s="41">
        <v>42874</v>
      </c>
      <c r="K75" s="41">
        <v>42837</v>
      </c>
      <c r="L75" s="41">
        <v>42874</v>
      </c>
      <c r="M75" s="41">
        <v>42839</v>
      </c>
      <c r="N75" s="41">
        <v>42880</v>
      </c>
      <c r="O75" s="41" t="s">
        <v>104</v>
      </c>
      <c r="P75" s="41">
        <v>42839</v>
      </c>
      <c r="Q75" s="41">
        <v>42898</v>
      </c>
      <c r="R75" s="97"/>
      <c r="S75" s="97"/>
      <c r="T75" s="108"/>
      <c r="U75" s="38"/>
      <c r="V75" s="38"/>
    </row>
    <row r="76" spans="1:22" ht="21.75" customHeight="1" x14ac:dyDescent="0.15">
      <c r="A76" s="89">
        <v>17</v>
      </c>
      <c r="B76" s="116" t="s">
        <v>290</v>
      </c>
      <c r="C76" s="109" t="s">
        <v>102</v>
      </c>
      <c r="D76" s="94">
        <v>42793</v>
      </c>
      <c r="E76" s="41">
        <v>42800</v>
      </c>
      <c r="F76" s="41">
        <v>42804</v>
      </c>
      <c r="G76" s="41">
        <v>42814</v>
      </c>
      <c r="H76" s="41">
        <v>42818</v>
      </c>
      <c r="I76" s="41">
        <v>42804</v>
      </c>
      <c r="J76" s="41">
        <v>42819</v>
      </c>
      <c r="K76" s="41" t="s">
        <v>104</v>
      </c>
      <c r="L76" s="41" t="s">
        <v>104</v>
      </c>
      <c r="M76" s="41">
        <v>42831</v>
      </c>
      <c r="N76" s="41">
        <v>42839</v>
      </c>
      <c r="O76" s="41">
        <v>42842</v>
      </c>
      <c r="P76" s="41">
        <v>42846</v>
      </c>
      <c r="Q76" s="41">
        <v>42881</v>
      </c>
      <c r="R76" s="96" t="s">
        <v>291</v>
      </c>
      <c r="S76" s="96" t="s">
        <v>257</v>
      </c>
      <c r="T76" s="109">
        <v>1</v>
      </c>
      <c r="U76" s="38"/>
      <c r="V76" s="38"/>
    </row>
    <row r="77" spans="1:22" ht="21.75" customHeight="1" x14ac:dyDescent="0.15">
      <c r="A77" s="90"/>
      <c r="B77" s="116"/>
      <c r="C77" s="108"/>
      <c r="D77" s="95"/>
      <c r="E77" s="41">
        <v>42800</v>
      </c>
      <c r="F77" s="41">
        <v>42804</v>
      </c>
      <c r="G77" s="41">
        <v>42814</v>
      </c>
      <c r="H77" s="41">
        <v>42818</v>
      </c>
      <c r="I77" s="41">
        <v>42803</v>
      </c>
      <c r="J77" s="41">
        <v>42818</v>
      </c>
      <c r="K77" s="41" t="s">
        <v>104</v>
      </c>
      <c r="L77" s="41" t="s">
        <v>104</v>
      </c>
      <c r="M77" s="41">
        <v>42823</v>
      </c>
      <c r="N77" s="41">
        <v>42838</v>
      </c>
      <c r="O77" s="41">
        <v>42838</v>
      </c>
      <c r="P77" s="41">
        <v>42844</v>
      </c>
      <c r="Q77" s="41">
        <v>42898</v>
      </c>
      <c r="R77" s="97"/>
      <c r="S77" s="97"/>
      <c r="T77" s="108"/>
      <c r="U77" s="38"/>
      <c r="V77" s="38"/>
    </row>
    <row r="78" spans="1:22" ht="39.75" customHeight="1" x14ac:dyDescent="0.15">
      <c r="A78" s="90">
        <v>18</v>
      </c>
      <c r="B78" s="116" t="s">
        <v>292</v>
      </c>
      <c r="C78" s="109" t="s">
        <v>102</v>
      </c>
      <c r="D78" s="94">
        <v>42755</v>
      </c>
      <c r="E78" s="41">
        <v>42774</v>
      </c>
      <c r="F78" s="41">
        <v>42780</v>
      </c>
      <c r="G78" s="41">
        <v>42785</v>
      </c>
      <c r="H78" s="41">
        <v>42793</v>
      </c>
      <c r="I78" s="41">
        <v>42776</v>
      </c>
      <c r="J78" s="41">
        <v>42801</v>
      </c>
      <c r="K78" s="41" t="s">
        <v>104</v>
      </c>
      <c r="L78" s="41" t="s">
        <v>104</v>
      </c>
      <c r="M78" s="41">
        <v>42807</v>
      </c>
      <c r="N78" s="41">
        <v>42832</v>
      </c>
      <c r="O78" s="41">
        <v>42840</v>
      </c>
      <c r="P78" s="41">
        <v>42843</v>
      </c>
      <c r="Q78" s="41">
        <v>42887</v>
      </c>
      <c r="R78" s="96" t="s">
        <v>293</v>
      </c>
      <c r="S78" s="96" t="s">
        <v>294</v>
      </c>
      <c r="T78" s="109">
        <v>1</v>
      </c>
      <c r="U78" s="38"/>
      <c r="V78" s="38"/>
    </row>
    <row r="79" spans="1:22" ht="39.75" customHeight="1" x14ac:dyDescent="0.15">
      <c r="A79" s="90"/>
      <c r="B79" s="116"/>
      <c r="C79" s="108"/>
      <c r="D79" s="95"/>
      <c r="E79" s="41">
        <v>42774</v>
      </c>
      <c r="F79" s="41">
        <v>42776</v>
      </c>
      <c r="G79" s="41">
        <v>42786</v>
      </c>
      <c r="H79" s="41">
        <v>42790</v>
      </c>
      <c r="I79" s="41">
        <v>42787</v>
      </c>
      <c r="J79" s="41">
        <v>42800</v>
      </c>
      <c r="K79" s="41" t="s">
        <v>104</v>
      </c>
      <c r="L79" s="41" t="s">
        <v>104</v>
      </c>
      <c r="M79" s="41">
        <v>42808</v>
      </c>
      <c r="N79" s="41">
        <v>42832</v>
      </c>
      <c r="O79" s="41">
        <v>42832</v>
      </c>
      <c r="P79" s="41">
        <v>42839</v>
      </c>
      <c r="Q79" s="41">
        <v>42908</v>
      </c>
      <c r="R79" s="97"/>
      <c r="S79" s="97"/>
      <c r="T79" s="108"/>
      <c r="U79" s="38"/>
      <c r="V79" s="38"/>
    </row>
    <row r="80" spans="1:22" ht="21.75" customHeight="1" x14ac:dyDescent="0.15">
      <c r="A80" s="89">
        <v>19</v>
      </c>
      <c r="B80" s="116" t="s">
        <v>295</v>
      </c>
      <c r="C80" s="109" t="s">
        <v>102</v>
      </c>
      <c r="D80" s="94">
        <v>42808</v>
      </c>
      <c r="E80" s="41">
        <v>42816</v>
      </c>
      <c r="F80" s="41">
        <v>42818</v>
      </c>
      <c r="G80" s="41">
        <v>42836</v>
      </c>
      <c r="H80" s="41">
        <v>42843</v>
      </c>
      <c r="I80" s="41">
        <v>42823</v>
      </c>
      <c r="J80" s="41">
        <v>42849</v>
      </c>
      <c r="K80" s="41">
        <v>42823</v>
      </c>
      <c r="L80" s="41">
        <v>42796</v>
      </c>
      <c r="M80" s="41">
        <v>42850</v>
      </c>
      <c r="N80" s="41">
        <v>42863</v>
      </c>
      <c r="O80" s="41" t="s">
        <v>104</v>
      </c>
      <c r="P80" s="41">
        <v>42824</v>
      </c>
      <c r="Q80" s="41">
        <v>42871</v>
      </c>
      <c r="R80" s="96" t="s">
        <v>296</v>
      </c>
      <c r="S80" s="96" t="s">
        <v>270</v>
      </c>
      <c r="T80" s="109">
        <v>1</v>
      </c>
      <c r="U80" s="38"/>
      <c r="V80" s="38"/>
    </row>
    <row r="81" spans="1:22" ht="21.75" customHeight="1" x14ac:dyDescent="0.15">
      <c r="A81" s="89"/>
      <c r="B81" s="116"/>
      <c r="C81" s="107"/>
      <c r="D81" s="105"/>
      <c r="E81" s="41">
        <v>42867</v>
      </c>
      <c r="F81" s="41">
        <v>42872</v>
      </c>
      <c r="G81" s="41">
        <v>42879</v>
      </c>
      <c r="H81" s="41">
        <v>42884</v>
      </c>
      <c r="I81" s="41">
        <v>42873</v>
      </c>
      <c r="J81" s="41">
        <v>42888</v>
      </c>
      <c r="K81" s="41" t="s">
        <v>104</v>
      </c>
      <c r="L81" s="41" t="s">
        <v>104</v>
      </c>
      <c r="M81" s="41">
        <v>42887</v>
      </c>
      <c r="N81" s="41">
        <v>42895</v>
      </c>
      <c r="O81" s="41" t="s">
        <v>104</v>
      </c>
      <c r="P81" s="41">
        <v>42901</v>
      </c>
      <c r="Q81" s="41">
        <v>42908</v>
      </c>
      <c r="R81" s="106"/>
      <c r="S81" s="106"/>
      <c r="T81" s="107"/>
      <c r="U81" s="38"/>
      <c r="V81" s="38"/>
    </row>
    <row r="82" spans="1:22" ht="21.75" customHeight="1" x14ac:dyDescent="0.15">
      <c r="A82" s="90"/>
      <c r="B82" s="116"/>
      <c r="C82" s="108"/>
      <c r="D82" s="95"/>
      <c r="E82" s="41">
        <v>42867</v>
      </c>
      <c r="F82" s="41">
        <v>42874</v>
      </c>
      <c r="G82" s="41">
        <v>42880</v>
      </c>
      <c r="H82" s="41">
        <v>42881</v>
      </c>
      <c r="I82" s="41">
        <v>42872</v>
      </c>
      <c r="J82" s="41">
        <v>42888</v>
      </c>
      <c r="K82" s="41" t="s">
        <v>104</v>
      </c>
      <c r="L82" s="41" t="s">
        <v>104</v>
      </c>
      <c r="M82" s="41">
        <v>42888</v>
      </c>
      <c r="N82" s="41">
        <v>42895</v>
      </c>
      <c r="O82" s="41" t="s">
        <v>104</v>
      </c>
      <c r="P82" s="41">
        <v>42909</v>
      </c>
      <c r="Q82" s="41">
        <v>42908</v>
      </c>
      <c r="R82" s="97"/>
      <c r="S82" s="97"/>
      <c r="T82" s="108"/>
      <c r="U82" s="38"/>
      <c r="V82" s="38"/>
    </row>
    <row r="83" spans="1:22" ht="42.75" customHeight="1" x14ac:dyDescent="0.15">
      <c r="A83" s="89">
        <v>20</v>
      </c>
      <c r="B83" s="113" t="s">
        <v>297</v>
      </c>
      <c r="C83" s="109" t="s">
        <v>102</v>
      </c>
      <c r="D83" s="94">
        <v>42730</v>
      </c>
      <c r="E83" s="41">
        <v>42779</v>
      </c>
      <c r="F83" s="41">
        <v>42787</v>
      </c>
      <c r="G83" s="41">
        <v>42796</v>
      </c>
      <c r="H83" s="41">
        <v>42803</v>
      </c>
      <c r="I83" s="41">
        <v>42786</v>
      </c>
      <c r="J83" s="41">
        <v>42801</v>
      </c>
      <c r="K83" s="41" t="s">
        <v>104</v>
      </c>
      <c r="L83" s="41" t="s">
        <v>104</v>
      </c>
      <c r="M83" s="41">
        <v>42822</v>
      </c>
      <c r="N83" s="41">
        <v>42853</v>
      </c>
      <c r="O83" s="41">
        <v>42859</v>
      </c>
      <c r="P83" s="41">
        <v>42864</v>
      </c>
      <c r="Q83" s="41">
        <v>42908</v>
      </c>
      <c r="R83" s="96" t="s">
        <v>298</v>
      </c>
      <c r="S83" s="96" t="s">
        <v>115</v>
      </c>
      <c r="T83" s="109">
        <v>1</v>
      </c>
      <c r="U83" s="38"/>
      <c r="V83" s="38"/>
    </row>
    <row r="84" spans="1:22" ht="42.75" customHeight="1" x14ac:dyDescent="0.15">
      <c r="A84" s="90"/>
      <c r="B84" s="113"/>
      <c r="C84" s="108"/>
      <c r="D84" s="95"/>
      <c r="E84" s="41">
        <v>42779</v>
      </c>
      <c r="F84" s="41">
        <v>42787</v>
      </c>
      <c r="G84" s="41">
        <v>42793</v>
      </c>
      <c r="H84" s="41">
        <v>42797</v>
      </c>
      <c r="I84" s="41">
        <v>42786</v>
      </c>
      <c r="J84" s="41">
        <v>42800</v>
      </c>
      <c r="K84" s="41" t="s">
        <v>104</v>
      </c>
      <c r="L84" s="41" t="s">
        <v>104</v>
      </c>
      <c r="M84" s="41">
        <v>42823</v>
      </c>
      <c r="N84" s="41">
        <v>42845</v>
      </c>
      <c r="O84" s="41">
        <v>42844</v>
      </c>
      <c r="P84" s="41">
        <v>42853</v>
      </c>
      <c r="Q84" s="41">
        <v>42934</v>
      </c>
      <c r="R84" s="97"/>
      <c r="S84" s="97"/>
      <c r="T84" s="108"/>
      <c r="U84" s="38"/>
      <c r="V84" s="38"/>
    </row>
    <row r="85" spans="1:22" ht="20.25" customHeight="1" x14ac:dyDescent="0.15">
      <c r="A85" s="89">
        <v>21</v>
      </c>
      <c r="B85" s="110" t="s">
        <v>299</v>
      </c>
      <c r="C85" s="109" t="s">
        <v>102</v>
      </c>
      <c r="D85" s="94">
        <v>42671</v>
      </c>
      <c r="E85" s="41" t="s">
        <v>104</v>
      </c>
      <c r="F85" s="41" t="s">
        <v>104</v>
      </c>
      <c r="G85" s="41" t="s">
        <v>104</v>
      </c>
      <c r="H85" s="41" t="s">
        <v>104</v>
      </c>
      <c r="I85" s="41" t="s">
        <v>104</v>
      </c>
      <c r="J85" s="41" t="s">
        <v>104</v>
      </c>
      <c r="K85" s="41" t="s">
        <v>104</v>
      </c>
      <c r="L85" s="41" t="s">
        <v>104</v>
      </c>
      <c r="M85" s="41">
        <v>42755</v>
      </c>
      <c r="N85" s="41">
        <v>42796</v>
      </c>
      <c r="O85" s="41">
        <v>42801</v>
      </c>
      <c r="P85" s="41">
        <v>42803</v>
      </c>
      <c r="Q85" s="41">
        <v>42844</v>
      </c>
      <c r="R85" s="96" t="s">
        <v>300</v>
      </c>
      <c r="S85" s="96" t="s">
        <v>214</v>
      </c>
      <c r="T85" s="109">
        <v>1</v>
      </c>
      <c r="U85" s="38"/>
      <c r="V85" s="38"/>
    </row>
    <row r="86" spans="1:22" ht="20.25" customHeight="1" x14ac:dyDescent="0.15">
      <c r="A86" s="90"/>
      <c r="B86" s="110"/>
      <c r="C86" s="108"/>
      <c r="D86" s="95"/>
      <c r="E86" s="41" t="s">
        <v>104</v>
      </c>
      <c r="F86" s="41" t="s">
        <v>104</v>
      </c>
      <c r="G86" s="41" t="s">
        <v>104</v>
      </c>
      <c r="H86" s="41" t="s">
        <v>104</v>
      </c>
      <c r="I86" s="41" t="s">
        <v>104</v>
      </c>
      <c r="J86" s="41" t="s">
        <v>104</v>
      </c>
      <c r="K86" s="41" t="s">
        <v>104</v>
      </c>
      <c r="L86" s="41" t="s">
        <v>104</v>
      </c>
      <c r="M86" s="41">
        <v>42755</v>
      </c>
      <c r="N86" s="41">
        <v>42804</v>
      </c>
      <c r="O86" s="41">
        <v>42803</v>
      </c>
      <c r="P86" s="41">
        <v>42824</v>
      </c>
      <c r="Q86" s="41">
        <v>42955</v>
      </c>
      <c r="R86" s="97"/>
      <c r="S86" s="97"/>
      <c r="T86" s="108"/>
      <c r="U86" s="38"/>
      <c r="V86" s="38"/>
    </row>
    <row r="87" spans="1:22" ht="21.75" customHeight="1" x14ac:dyDescent="0.15">
      <c r="A87" s="90">
        <v>22</v>
      </c>
      <c r="B87" s="91" t="s">
        <v>301</v>
      </c>
      <c r="C87" s="109" t="s">
        <v>102</v>
      </c>
      <c r="D87" s="94">
        <v>42880</v>
      </c>
      <c r="E87" s="41">
        <v>42894</v>
      </c>
      <c r="F87" s="41">
        <v>42912</v>
      </c>
      <c r="G87" s="41">
        <v>42919</v>
      </c>
      <c r="H87" s="41">
        <v>42926</v>
      </c>
      <c r="I87" s="41">
        <v>42907</v>
      </c>
      <c r="J87" s="41">
        <v>42921</v>
      </c>
      <c r="K87" s="41" t="s">
        <v>104</v>
      </c>
      <c r="L87" s="41" t="s">
        <v>104</v>
      </c>
      <c r="M87" s="41">
        <v>42937</v>
      </c>
      <c r="N87" s="41">
        <v>42962</v>
      </c>
      <c r="O87" s="41">
        <v>42965</v>
      </c>
      <c r="P87" s="41">
        <v>42970</v>
      </c>
      <c r="Q87" s="41">
        <v>43006</v>
      </c>
      <c r="R87" s="96" t="s">
        <v>302</v>
      </c>
      <c r="S87" s="96" t="s">
        <v>217</v>
      </c>
      <c r="T87" s="109">
        <v>1</v>
      </c>
      <c r="U87" s="38"/>
      <c r="V87" s="38"/>
    </row>
    <row r="88" spans="1:22" ht="21.75" customHeight="1" x14ac:dyDescent="0.15">
      <c r="A88" s="90"/>
      <c r="B88" s="91"/>
      <c r="C88" s="108"/>
      <c r="D88" s="95"/>
      <c r="E88" s="41">
        <v>42894</v>
      </c>
      <c r="F88" s="41">
        <v>42912</v>
      </c>
      <c r="G88" s="41">
        <v>42919</v>
      </c>
      <c r="H88" s="41">
        <v>42922</v>
      </c>
      <c r="I88" s="41">
        <v>42907</v>
      </c>
      <c r="J88" s="41">
        <v>42921</v>
      </c>
      <c r="K88" s="41" t="s">
        <v>104</v>
      </c>
      <c r="L88" s="41" t="s">
        <v>104</v>
      </c>
      <c r="M88" s="41">
        <v>42926</v>
      </c>
      <c r="N88" s="41">
        <v>42947</v>
      </c>
      <c r="O88" s="41">
        <v>42947</v>
      </c>
      <c r="P88" s="41">
        <v>42962</v>
      </c>
      <c r="Q88" s="41">
        <v>42962</v>
      </c>
      <c r="R88" s="97"/>
      <c r="S88" s="97"/>
      <c r="T88" s="108"/>
      <c r="U88" s="38"/>
      <c r="V88" s="38"/>
    </row>
    <row r="89" spans="1:22" ht="21.75" customHeight="1" x14ac:dyDescent="0.15">
      <c r="A89" s="89">
        <v>23</v>
      </c>
      <c r="B89" s="91" t="s">
        <v>303</v>
      </c>
      <c r="C89" s="109" t="s">
        <v>102</v>
      </c>
      <c r="D89" s="94">
        <v>42796</v>
      </c>
      <c r="E89" s="41">
        <v>42818</v>
      </c>
      <c r="F89" s="41">
        <v>42836</v>
      </c>
      <c r="G89" s="41">
        <v>42844</v>
      </c>
      <c r="H89" s="41">
        <v>42850</v>
      </c>
      <c r="I89" s="41">
        <v>42837</v>
      </c>
      <c r="J89" s="41">
        <v>42853</v>
      </c>
      <c r="K89" s="41" t="s">
        <v>104</v>
      </c>
      <c r="L89" s="41" t="s">
        <v>104</v>
      </c>
      <c r="M89" s="41">
        <v>42865</v>
      </c>
      <c r="N89" s="41">
        <v>42899</v>
      </c>
      <c r="O89" s="41">
        <v>42894</v>
      </c>
      <c r="P89" s="41">
        <v>42902</v>
      </c>
      <c r="Q89" s="41">
        <v>42944</v>
      </c>
      <c r="R89" s="96" t="s">
        <v>304</v>
      </c>
      <c r="S89" s="96" t="s">
        <v>151</v>
      </c>
      <c r="T89" s="109">
        <v>1</v>
      </c>
      <c r="U89" s="38"/>
      <c r="V89" s="38"/>
    </row>
    <row r="90" spans="1:22" ht="21.75" customHeight="1" x14ac:dyDescent="0.15">
      <c r="A90" s="90"/>
      <c r="B90" s="91"/>
      <c r="C90" s="108"/>
      <c r="D90" s="95"/>
      <c r="E90" s="41">
        <v>42818</v>
      </c>
      <c r="F90" s="41">
        <v>42835</v>
      </c>
      <c r="G90" s="41">
        <v>42839</v>
      </c>
      <c r="H90" s="41">
        <v>42846</v>
      </c>
      <c r="I90" s="41">
        <v>42835</v>
      </c>
      <c r="J90" s="41">
        <v>42852</v>
      </c>
      <c r="K90" s="41" t="s">
        <v>104</v>
      </c>
      <c r="L90" s="41" t="s">
        <v>104</v>
      </c>
      <c r="M90" s="41">
        <v>42857</v>
      </c>
      <c r="N90" s="41">
        <v>42872</v>
      </c>
      <c r="O90" s="41">
        <v>42872</v>
      </c>
      <c r="P90" s="41">
        <v>42886</v>
      </c>
      <c r="Q90" s="41">
        <v>42968</v>
      </c>
      <c r="R90" s="97"/>
      <c r="S90" s="97"/>
      <c r="T90" s="108"/>
      <c r="U90" s="38"/>
      <c r="V90" s="38"/>
    </row>
    <row r="91" spans="1:22" ht="18" customHeight="1" x14ac:dyDescent="0.15">
      <c r="A91" s="90">
        <v>24</v>
      </c>
      <c r="B91" s="113" t="s">
        <v>305</v>
      </c>
      <c r="C91" s="109" t="s">
        <v>102</v>
      </c>
      <c r="D91" s="94">
        <v>42710</v>
      </c>
      <c r="E91" s="41">
        <v>43081</v>
      </c>
      <c r="F91" s="41">
        <v>42735</v>
      </c>
      <c r="G91" s="41">
        <v>42745</v>
      </c>
      <c r="H91" s="41">
        <v>42751</v>
      </c>
      <c r="I91" s="41">
        <v>42735</v>
      </c>
      <c r="J91" s="41">
        <v>42754</v>
      </c>
      <c r="K91" s="41">
        <v>42803</v>
      </c>
      <c r="L91" s="41">
        <v>42807</v>
      </c>
      <c r="M91" s="41">
        <v>42802</v>
      </c>
      <c r="N91" s="41">
        <v>42825</v>
      </c>
      <c r="O91" s="41">
        <v>42835</v>
      </c>
      <c r="P91" s="41">
        <v>42836</v>
      </c>
      <c r="Q91" s="41">
        <v>42877</v>
      </c>
      <c r="R91" s="96" t="s">
        <v>306</v>
      </c>
      <c r="S91" s="96" t="s">
        <v>307</v>
      </c>
      <c r="T91" s="109">
        <v>1</v>
      </c>
      <c r="U91" s="38"/>
      <c r="V91" s="38"/>
    </row>
    <row r="92" spans="1:22" ht="18" customHeight="1" x14ac:dyDescent="0.15">
      <c r="A92" s="90"/>
      <c r="B92" s="113"/>
      <c r="C92" s="108"/>
      <c r="D92" s="95"/>
      <c r="E92" s="41">
        <v>43081</v>
      </c>
      <c r="F92" s="41">
        <v>42735</v>
      </c>
      <c r="G92" s="41">
        <v>42745</v>
      </c>
      <c r="H92" s="41">
        <v>42751</v>
      </c>
      <c r="I92" s="41">
        <v>42735</v>
      </c>
      <c r="J92" s="41">
        <v>42754</v>
      </c>
      <c r="K92" s="41">
        <v>42803</v>
      </c>
      <c r="L92" s="41">
        <v>42807</v>
      </c>
      <c r="M92" s="43">
        <v>42802</v>
      </c>
      <c r="N92" s="43">
        <v>42825</v>
      </c>
      <c r="O92" s="43">
        <v>42835</v>
      </c>
      <c r="P92" s="43">
        <v>42843</v>
      </c>
      <c r="Q92" s="43">
        <v>42954</v>
      </c>
      <c r="R92" s="97"/>
      <c r="S92" s="97"/>
      <c r="T92" s="108"/>
      <c r="U92" s="38"/>
      <c r="V92" s="38"/>
    </row>
    <row r="93" spans="1:22" ht="18.75" customHeight="1" x14ac:dyDescent="0.15">
      <c r="A93" s="89">
        <v>25</v>
      </c>
      <c r="B93" s="113" t="s">
        <v>308</v>
      </c>
      <c r="C93" s="109" t="s">
        <v>102</v>
      </c>
      <c r="D93" s="94">
        <v>42710</v>
      </c>
      <c r="E93" s="41">
        <v>42720</v>
      </c>
      <c r="F93" s="41">
        <v>42735</v>
      </c>
      <c r="G93" s="41">
        <v>42745</v>
      </c>
      <c r="H93" s="41">
        <v>42751</v>
      </c>
      <c r="I93" s="41">
        <v>42735</v>
      </c>
      <c r="J93" s="41">
        <v>42754</v>
      </c>
      <c r="K93" s="41">
        <v>42803</v>
      </c>
      <c r="L93" s="41">
        <v>42807</v>
      </c>
      <c r="M93" s="43">
        <v>42810</v>
      </c>
      <c r="N93" s="43">
        <v>42835</v>
      </c>
      <c r="O93" s="43">
        <v>42842</v>
      </c>
      <c r="P93" s="43">
        <v>42843</v>
      </c>
      <c r="Q93" s="43">
        <v>42882</v>
      </c>
      <c r="R93" s="96" t="s">
        <v>309</v>
      </c>
      <c r="S93" s="96" t="s">
        <v>307</v>
      </c>
      <c r="T93" s="109">
        <v>1</v>
      </c>
      <c r="U93" s="38"/>
      <c r="V93" s="38"/>
    </row>
    <row r="94" spans="1:22" ht="18.75" customHeight="1" x14ac:dyDescent="0.15">
      <c r="A94" s="90"/>
      <c r="B94" s="113"/>
      <c r="C94" s="108"/>
      <c r="D94" s="95"/>
      <c r="E94" s="41">
        <v>42720</v>
      </c>
      <c r="F94" s="41">
        <v>42735</v>
      </c>
      <c r="G94" s="41">
        <v>42745</v>
      </c>
      <c r="H94" s="41">
        <v>42751</v>
      </c>
      <c r="I94" s="41">
        <v>42735</v>
      </c>
      <c r="J94" s="41">
        <v>42754</v>
      </c>
      <c r="K94" s="41">
        <v>42803</v>
      </c>
      <c r="L94" s="41">
        <v>42807</v>
      </c>
      <c r="M94" s="43">
        <v>42811</v>
      </c>
      <c r="N94" s="43">
        <v>42846</v>
      </c>
      <c r="O94" s="43" t="s">
        <v>104</v>
      </c>
      <c r="P94" s="43">
        <v>42853</v>
      </c>
      <c r="Q94" s="43">
        <v>42954</v>
      </c>
      <c r="R94" s="97"/>
      <c r="S94" s="97"/>
      <c r="T94" s="108"/>
      <c r="U94" s="38"/>
      <c r="V94" s="38"/>
    </row>
    <row r="95" spans="1:22" ht="18.75" customHeight="1" x14ac:dyDescent="0.15">
      <c r="A95" s="90">
        <v>26</v>
      </c>
      <c r="B95" s="113" t="s">
        <v>310</v>
      </c>
      <c r="C95" s="109" t="s">
        <v>102</v>
      </c>
      <c r="D95" s="94">
        <v>42710</v>
      </c>
      <c r="E95" s="41">
        <v>42712</v>
      </c>
      <c r="F95" s="41">
        <v>42739</v>
      </c>
      <c r="G95" s="41">
        <v>42745</v>
      </c>
      <c r="H95" s="41">
        <v>42751</v>
      </c>
      <c r="I95" s="41">
        <v>42739</v>
      </c>
      <c r="J95" s="41">
        <v>42757</v>
      </c>
      <c r="K95" s="41">
        <v>42803</v>
      </c>
      <c r="L95" s="41">
        <v>42807</v>
      </c>
      <c r="M95" s="43">
        <v>42804</v>
      </c>
      <c r="N95" s="43">
        <v>42819</v>
      </c>
      <c r="O95" s="43">
        <v>42825</v>
      </c>
      <c r="P95" s="43">
        <v>42825</v>
      </c>
      <c r="Q95" s="43">
        <v>42870</v>
      </c>
      <c r="R95" s="96" t="s">
        <v>311</v>
      </c>
      <c r="S95" s="96" t="s">
        <v>307</v>
      </c>
      <c r="T95" s="109">
        <v>1</v>
      </c>
      <c r="U95" s="38"/>
      <c r="V95" s="38"/>
    </row>
    <row r="96" spans="1:22" ht="18.75" customHeight="1" x14ac:dyDescent="0.15">
      <c r="A96" s="90"/>
      <c r="B96" s="113"/>
      <c r="C96" s="108"/>
      <c r="D96" s="95"/>
      <c r="E96" s="41">
        <v>42712</v>
      </c>
      <c r="F96" s="41">
        <v>42739</v>
      </c>
      <c r="G96" s="41">
        <v>42745</v>
      </c>
      <c r="H96" s="41">
        <v>42751</v>
      </c>
      <c r="I96" s="41">
        <v>42739</v>
      </c>
      <c r="J96" s="41">
        <v>42776</v>
      </c>
      <c r="K96" s="41">
        <v>42803</v>
      </c>
      <c r="L96" s="41">
        <v>42807</v>
      </c>
      <c r="M96" s="43">
        <v>42804</v>
      </c>
      <c r="N96" s="43">
        <v>42818</v>
      </c>
      <c r="O96" s="43">
        <v>42818</v>
      </c>
      <c r="P96" s="43">
        <v>42843</v>
      </c>
      <c r="Q96" s="43">
        <v>42954</v>
      </c>
      <c r="R96" s="97"/>
      <c r="S96" s="97"/>
      <c r="T96" s="108"/>
      <c r="U96" s="38"/>
      <c r="V96" s="38"/>
    </row>
    <row r="97" spans="1:22" ht="21.75" customHeight="1" x14ac:dyDescent="0.15">
      <c r="A97" s="89">
        <v>27</v>
      </c>
      <c r="B97" s="113" t="s">
        <v>312</v>
      </c>
      <c r="C97" s="92" t="s">
        <v>102</v>
      </c>
      <c r="D97" s="94">
        <v>42968</v>
      </c>
      <c r="E97" s="41" t="s">
        <v>104</v>
      </c>
      <c r="F97" s="41" t="s">
        <v>104</v>
      </c>
      <c r="G97" s="41" t="s">
        <v>104</v>
      </c>
      <c r="H97" s="41" t="s">
        <v>104</v>
      </c>
      <c r="I97" s="41" t="s">
        <v>104</v>
      </c>
      <c r="J97" s="41" t="s">
        <v>104</v>
      </c>
      <c r="K97" s="41" t="s">
        <v>104</v>
      </c>
      <c r="L97" s="41" t="s">
        <v>104</v>
      </c>
      <c r="M97" s="41">
        <v>42986</v>
      </c>
      <c r="N97" s="41" t="s">
        <v>104</v>
      </c>
      <c r="O97" s="41" t="s">
        <v>104</v>
      </c>
      <c r="P97" s="41">
        <v>42993</v>
      </c>
      <c r="Q97" s="41" t="s">
        <v>104</v>
      </c>
      <c r="R97" s="96" t="s">
        <v>313</v>
      </c>
      <c r="S97" s="96" t="s">
        <v>314</v>
      </c>
      <c r="T97" s="92">
        <v>1</v>
      </c>
      <c r="U97" s="38"/>
      <c r="V97" s="38"/>
    </row>
    <row r="98" spans="1:22" ht="21.75" customHeight="1" x14ac:dyDescent="0.15">
      <c r="A98" s="90"/>
      <c r="B98" s="113"/>
      <c r="C98" s="93"/>
      <c r="D98" s="95"/>
      <c r="E98" s="41" t="s">
        <v>104</v>
      </c>
      <c r="F98" s="41" t="s">
        <v>104</v>
      </c>
      <c r="G98" s="41" t="s">
        <v>104</v>
      </c>
      <c r="H98" s="41" t="s">
        <v>104</v>
      </c>
      <c r="I98" s="41" t="s">
        <v>104</v>
      </c>
      <c r="J98" s="41" t="s">
        <v>104</v>
      </c>
      <c r="K98" s="41" t="s">
        <v>104</v>
      </c>
      <c r="L98" s="41" t="s">
        <v>104</v>
      </c>
      <c r="M98" s="41">
        <v>42985</v>
      </c>
      <c r="N98" s="41" t="s">
        <v>104</v>
      </c>
      <c r="O98" s="41" t="s">
        <v>104</v>
      </c>
      <c r="P98" s="41">
        <v>42990</v>
      </c>
      <c r="Q98" s="41" t="s">
        <v>104</v>
      </c>
      <c r="R98" s="97"/>
      <c r="S98" s="97"/>
      <c r="T98" s="93"/>
      <c r="U98" s="38"/>
      <c r="V98" s="38"/>
    </row>
    <row r="99" spans="1:22" ht="21.75" customHeight="1" x14ac:dyDescent="0.15">
      <c r="A99" s="90">
        <v>28</v>
      </c>
      <c r="B99" s="91" t="s">
        <v>315</v>
      </c>
      <c r="C99" s="109" t="s">
        <v>102</v>
      </c>
      <c r="D99" s="94">
        <v>42796</v>
      </c>
      <c r="E99" s="41">
        <v>42808</v>
      </c>
      <c r="F99" s="41">
        <v>42811</v>
      </c>
      <c r="G99" s="41">
        <v>42818</v>
      </c>
      <c r="H99" s="41">
        <v>42825</v>
      </c>
      <c r="I99" s="41">
        <v>42811</v>
      </c>
      <c r="J99" s="41">
        <v>42827</v>
      </c>
      <c r="K99" s="41" t="s">
        <v>104</v>
      </c>
      <c r="L99" s="41" t="s">
        <v>104</v>
      </c>
      <c r="M99" s="41">
        <v>42843</v>
      </c>
      <c r="N99" s="41">
        <v>42871</v>
      </c>
      <c r="O99" s="41">
        <v>42870</v>
      </c>
      <c r="P99" s="41">
        <v>42879</v>
      </c>
      <c r="Q99" s="41">
        <v>42916</v>
      </c>
      <c r="R99" s="96" t="s">
        <v>304</v>
      </c>
      <c r="S99" s="96" t="s">
        <v>316</v>
      </c>
      <c r="T99" s="109">
        <v>1</v>
      </c>
      <c r="U99" s="38"/>
      <c r="V99" s="38"/>
    </row>
    <row r="100" spans="1:22" ht="21.75" customHeight="1" x14ac:dyDescent="0.15">
      <c r="A100" s="90"/>
      <c r="B100" s="91"/>
      <c r="C100" s="108"/>
      <c r="D100" s="95"/>
      <c r="E100" s="41">
        <v>42808</v>
      </c>
      <c r="F100" s="41">
        <v>42811</v>
      </c>
      <c r="G100" s="41">
        <v>42816</v>
      </c>
      <c r="H100" s="41">
        <v>42823</v>
      </c>
      <c r="I100" s="41">
        <v>42811</v>
      </c>
      <c r="J100" s="41">
        <v>42827</v>
      </c>
      <c r="K100" s="41" t="s">
        <v>104</v>
      </c>
      <c r="L100" s="41" t="s">
        <v>104</v>
      </c>
      <c r="M100" s="41">
        <v>42844</v>
      </c>
      <c r="N100" s="41">
        <v>42871</v>
      </c>
      <c r="O100" s="41">
        <v>42870</v>
      </c>
      <c r="P100" s="41">
        <v>42891</v>
      </c>
      <c r="Q100" s="41">
        <v>42997</v>
      </c>
      <c r="R100" s="97"/>
      <c r="S100" s="97"/>
      <c r="T100" s="108"/>
      <c r="U100" s="38"/>
      <c r="V100" s="38"/>
    </row>
    <row r="101" spans="1:22" ht="21.75" customHeight="1" x14ac:dyDescent="0.15">
      <c r="A101" s="89">
        <v>29</v>
      </c>
      <c r="B101" s="91" t="s">
        <v>317</v>
      </c>
      <c r="C101" s="109" t="s">
        <v>102</v>
      </c>
      <c r="D101" s="94">
        <v>42796</v>
      </c>
      <c r="E101" s="41">
        <v>42814</v>
      </c>
      <c r="F101" s="41">
        <v>42823</v>
      </c>
      <c r="G101" s="41">
        <v>42832</v>
      </c>
      <c r="H101" s="41">
        <v>42838</v>
      </c>
      <c r="I101" s="41">
        <v>42814</v>
      </c>
      <c r="J101" s="41">
        <v>42836</v>
      </c>
      <c r="K101" s="41" t="s">
        <v>104</v>
      </c>
      <c r="L101" s="41" t="s">
        <v>104</v>
      </c>
      <c r="M101" s="41">
        <v>42851</v>
      </c>
      <c r="N101" s="41">
        <v>42879</v>
      </c>
      <c r="O101" s="41">
        <v>42878</v>
      </c>
      <c r="P101" s="41">
        <v>42888</v>
      </c>
      <c r="Q101" s="41">
        <v>42927</v>
      </c>
      <c r="R101" s="96" t="s">
        <v>304</v>
      </c>
      <c r="S101" s="96" t="s">
        <v>316</v>
      </c>
      <c r="T101" s="109">
        <v>1</v>
      </c>
      <c r="U101" s="38"/>
      <c r="V101" s="38"/>
    </row>
    <row r="102" spans="1:22" ht="21.75" customHeight="1" x14ac:dyDescent="0.15">
      <c r="A102" s="90"/>
      <c r="B102" s="91"/>
      <c r="C102" s="108"/>
      <c r="D102" s="95"/>
      <c r="E102" s="41">
        <v>42814</v>
      </c>
      <c r="F102" s="41">
        <v>42821</v>
      </c>
      <c r="G102" s="41">
        <v>42832</v>
      </c>
      <c r="H102" s="41">
        <v>42838</v>
      </c>
      <c r="I102" s="41">
        <v>42814</v>
      </c>
      <c r="J102" s="41">
        <v>42836</v>
      </c>
      <c r="K102" s="41" t="s">
        <v>104</v>
      </c>
      <c r="L102" s="41" t="s">
        <v>104</v>
      </c>
      <c r="M102" s="41">
        <v>42850</v>
      </c>
      <c r="N102" s="41">
        <v>42872</v>
      </c>
      <c r="O102" s="41">
        <v>42872</v>
      </c>
      <c r="P102" s="41">
        <v>42891</v>
      </c>
      <c r="Q102" s="41">
        <v>42997</v>
      </c>
      <c r="R102" s="97"/>
      <c r="S102" s="97"/>
      <c r="T102" s="108"/>
      <c r="U102" s="38"/>
      <c r="V102" s="38"/>
    </row>
    <row r="103" spans="1:22" ht="21.75" customHeight="1" x14ac:dyDescent="0.15">
      <c r="A103" s="90">
        <v>30</v>
      </c>
      <c r="B103" s="116" t="s">
        <v>318</v>
      </c>
      <c r="C103" s="109" t="s">
        <v>102</v>
      </c>
      <c r="D103" s="94">
        <v>42808</v>
      </c>
      <c r="E103" s="41">
        <v>42837</v>
      </c>
      <c r="F103" s="41">
        <v>42839</v>
      </c>
      <c r="G103" s="41">
        <v>42863</v>
      </c>
      <c r="H103" s="41">
        <v>42867</v>
      </c>
      <c r="I103" s="41">
        <v>42837</v>
      </c>
      <c r="J103" s="41">
        <v>42877</v>
      </c>
      <c r="K103" s="41">
        <v>42839</v>
      </c>
      <c r="L103" s="41">
        <v>42877</v>
      </c>
      <c r="M103" s="41">
        <v>42872</v>
      </c>
      <c r="N103" s="41">
        <v>42881</v>
      </c>
      <c r="O103" s="41" t="s">
        <v>104</v>
      </c>
      <c r="P103" s="41">
        <v>42843</v>
      </c>
      <c r="Q103" s="41">
        <v>42887</v>
      </c>
      <c r="R103" s="96" t="s">
        <v>319</v>
      </c>
      <c r="S103" s="96" t="s">
        <v>270</v>
      </c>
      <c r="T103" s="109">
        <v>1</v>
      </c>
      <c r="U103" s="38"/>
      <c r="V103" s="38"/>
    </row>
    <row r="104" spans="1:22" ht="21.75" customHeight="1" x14ac:dyDescent="0.15">
      <c r="A104" s="90"/>
      <c r="B104" s="116"/>
      <c r="C104" s="108"/>
      <c r="D104" s="95"/>
      <c r="E104" s="41">
        <v>42839</v>
      </c>
      <c r="F104" s="41">
        <v>42839</v>
      </c>
      <c r="G104" s="41">
        <v>42864</v>
      </c>
      <c r="H104" s="41">
        <v>42881</v>
      </c>
      <c r="I104" s="41">
        <v>42843</v>
      </c>
      <c r="J104" s="41">
        <v>42905</v>
      </c>
      <c r="K104" s="41">
        <v>42843</v>
      </c>
      <c r="L104" s="41">
        <v>42877</v>
      </c>
      <c r="M104" s="41">
        <v>42907</v>
      </c>
      <c r="N104" s="41">
        <v>42992</v>
      </c>
      <c r="O104" s="41" t="s">
        <v>104</v>
      </c>
      <c r="P104" s="41">
        <v>42846</v>
      </c>
      <c r="Q104" s="41">
        <v>42992</v>
      </c>
      <c r="R104" s="97"/>
      <c r="S104" s="97"/>
      <c r="T104" s="108"/>
      <c r="U104" s="38"/>
      <c r="V104" s="38"/>
    </row>
    <row r="105" spans="1:22" ht="21.75" customHeight="1" x14ac:dyDescent="0.15">
      <c r="A105" s="98">
        <v>31</v>
      </c>
      <c r="B105" s="91" t="s">
        <v>320</v>
      </c>
      <c r="C105" s="92" t="s">
        <v>102</v>
      </c>
      <c r="D105" s="94">
        <v>42934</v>
      </c>
      <c r="E105" s="41">
        <v>42935</v>
      </c>
      <c r="F105" s="41">
        <v>42936</v>
      </c>
      <c r="G105" s="41">
        <v>42943</v>
      </c>
      <c r="H105" s="41">
        <v>42948</v>
      </c>
      <c r="I105" s="41">
        <v>42937</v>
      </c>
      <c r="J105" s="41">
        <v>42954</v>
      </c>
      <c r="K105" s="41" t="s">
        <v>104</v>
      </c>
      <c r="L105" s="41" t="s">
        <v>104</v>
      </c>
      <c r="M105" s="41">
        <v>42954</v>
      </c>
      <c r="N105" s="41">
        <v>42970</v>
      </c>
      <c r="O105" s="41">
        <v>42969</v>
      </c>
      <c r="P105" s="41">
        <v>42976</v>
      </c>
      <c r="Q105" s="41">
        <v>43018</v>
      </c>
      <c r="R105" s="96" t="s">
        <v>321</v>
      </c>
      <c r="S105" s="96" t="s">
        <v>270</v>
      </c>
      <c r="T105" s="92">
        <v>1</v>
      </c>
      <c r="U105" s="38"/>
      <c r="V105" s="38"/>
    </row>
    <row r="106" spans="1:22" ht="21.75" customHeight="1" x14ac:dyDescent="0.15">
      <c r="A106" s="89"/>
      <c r="B106" s="91"/>
      <c r="C106" s="93"/>
      <c r="D106" s="95"/>
      <c r="E106" s="41">
        <v>42935</v>
      </c>
      <c r="F106" s="41">
        <v>42936</v>
      </c>
      <c r="G106" s="41">
        <v>42943</v>
      </c>
      <c r="H106" s="41">
        <v>42947</v>
      </c>
      <c r="I106" s="41">
        <v>42937</v>
      </c>
      <c r="J106" s="41">
        <v>42961</v>
      </c>
      <c r="K106" s="41" t="s">
        <v>104</v>
      </c>
      <c r="L106" s="41" t="s">
        <v>104</v>
      </c>
      <c r="M106" s="41">
        <v>42950</v>
      </c>
      <c r="N106" s="41">
        <v>42970</v>
      </c>
      <c r="O106" s="41">
        <v>42970</v>
      </c>
      <c r="P106" s="41">
        <v>42984</v>
      </c>
      <c r="Q106" s="41">
        <v>42970</v>
      </c>
      <c r="R106" s="97"/>
      <c r="S106" s="97"/>
      <c r="T106" s="93"/>
      <c r="U106" s="38"/>
      <c r="V106" s="38"/>
    </row>
    <row r="107" spans="1:22" ht="21.75" customHeight="1" x14ac:dyDescent="0.15">
      <c r="A107" s="90">
        <v>32</v>
      </c>
      <c r="B107" s="91" t="s">
        <v>322</v>
      </c>
      <c r="C107" s="109" t="s">
        <v>102</v>
      </c>
      <c r="D107" s="94">
        <v>42899</v>
      </c>
      <c r="E107" s="41">
        <v>42942</v>
      </c>
      <c r="F107" s="41">
        <v>42944</v>
      </c>
      <c r="G107" s="41">
        <v>42954</v>
      </c>
      <c r="H107" s="41">
        <v>42961</v>
      </c>
      <c r="I107" s="41">
        <v>42944</v>
      </c>
      <c r="J107" s="41">
        <v>42968</v>
      </c>
      <c r="K107" s="41" t="s">
        <v>104</v>
      </c>
      <c r="L107" s="41" t="s">
        <v>104</v>
      </c>
      <c r="M107" s="41">
        <v>42969</v>
      </c>
      <c r="N107" s="41">
        <v>42992</v>
      </c>
      <c r="O107" s="41">
        <v>42991</v>
      </c>
      <c r="P107" s="41">
        <v>42997</v>
      </c>
      <c r="Q107" s="41">
        <v>43039</v>
      </c>
      <c r="R107" s="96" t="s">
        <v>323</v>
      </c>
      <c r="S107" s="96" t="s">
        <v>270</v>
      </c>
      <c r="T107" s="92">
        <v>1</v>
      </c>
      <c r="U107" s="38"/>
      <c r="V107" s="38"/>
    </row>
    <row r="108" spans="1:22" ht="21.75" customHeight="1" x14ac:dyDescent="0.15">
      <c r="A108" s="90"/>
      <c r="B108" s="91"/>
      <c r="C108" s="108"/>
      <c r="D108" s="95"/>
      <c r="E108" s="41">
        <v>42942</v>
      </c>
      <c r="F108" s="41">
        <v>42943</v>
      </c>
      <c r="G108" s="41">
        <v>42951</v>
      </c>
      <c r="H108" s="41">
        <v>42961</v>
      </c>
      <c r="I108" s="41">
        <v>42948</v>
      </c>
      <c r="J108" s="41">
        <v>42968</v>
      </c>
      <c r="K108" s="41" t="s">
        <v>104</v>
      </c>
      <c r="L108" s="41" t="s">
        <v>104</v>
      </c>
      <c r="M108" s="41">
        <v>42964</v>
      </c>
      <c r="N108" s="41">
        <v>42978</v>
      </c>
      <c r="O108" s="41">
        <v>42977</v>
      </c>
      <c r="P108" s="41">
        <v>42986</v>
      </c>
      <c r="Q108" s="41">
        <v>43031</v>
      </c>
      <c r="R108" s="97"/>
      <c r="S108" s="97"/>
      <c r="T108" s="93"/>
      <c r="U108" s="38"/>
      <c r="V108" s="38"/>
    </row>
    <row r="109" spans="1:22" ht="21.75" customHeight="1" x14ac:dyDescent="0.15">
      <c r="A109" s="89">
        <v>33</v>
      </c>
      <c r="B109" s="116" t="s">
        <v>324</v>
      </c>
      <c r="C109" s="109" t="s">
        <v>102</v>
      </c>
      <c r="D109" s="94">
        <v>42808</v>
      </c>
      <c r="E109" s="41">
        <v>42839</v>
      </c>
      <c r="F109" s="41">
        <v>42846</v>
      </c>
      <c r="G109" s="41">
        <v>42863</v>
      </c>
      <c r="H109" s="41">
        <v>42870</v>
      </c>
      <c r="I109" s="41">
        <v>42839</v>
      </c>
      <c r="J109" s="41">
        <v>42877</v>
      </c>
      <c r="K109" s="41">
        <v>42843</v>
      </c>
      <c r="L109" s="41">
        <v>42879</v>
      </c>
      <c r="M109" s="41">
        <v>42873</v>
      </c>
      <c r="N109" s="41">
        <v>42881</v>
      </c>
      <c r="O109" s="41" t="s">
        <v>104</v>
      </c>
      <c r="P109" s="41">
        <v>42846</v>
      </c>
      <c r="Q109" s="41">
        <v>42887</v>
      </c>
      <c r="R109" s="96" t="s">
        <v>319</v>
      </c>
      <c r="S109" s="96" t="s">
        <v>270</v>
      </c>
      <c r="T109" s="109">
        <v>1</v>
      </c>
      <c r="U109" s="38"/>
      <c r="V109" s="38"/>
    </row>
    <row r="110" spans="1:22" ht="21.75" customHeight="1" x14ac:dyDescent="0.15">
      <c r="A110" s="90"/>
      <c r="B110" s="116"/>
      <c r="C110" s="108"/>
      <c r="D110" s="95"/>
      <c r="E110" s="41">
        <v>42839</v>
      </c>
      <c r="F110" s="41">
        <v>42849</v>
      </c>
      <c r="G110" s="41">
        <v>42864</v>
      </c>
      <c r="H110" s="41">
        <v>42881</v>
      </c>
      <c r="I110" s="41">
        <v>42843</v>
      </c>
      <c r="J110" s="41">
        <v>42905</v>
      </c>
      <c r="K110" s="41">
        <v>42843</v>
      </c>
      <c r="L110" s="41">
        <v>42879</v>
      </c>
      <c r="M110" s="41">
        <v>42914</v>
      </c>
      <c r="N110" s="41">
        <v>43031</v>
      </c>
      <c r="O110" s="41" t="s">
        <v>104</v>
      </c>
      <c r="P110" s="41">
        <v>42851</v>
      </c>
      <c r="Q110" s="41">
        <v>43031</v>
      </c>
      <c r="R110" s="97"/>
      <c r="S110" s="97"/>
      <c r="T110" s="108"/>
      <c r="U110" s="38"/>
      <c r="V110" s="38"/>
    </row>
    <row r="111" spans="1:22" ht="30" customHeight="1" x14ac:dyDescent="0.15">
      <c r="A111" s="89">
        <v>34</v>
      </c>
      <c r="B111" s="91" t="s">
        <v>168</v>
      </c>
      <c r="C111" s="92" t="s">
        <v>121</v>
      </c>
      <c r="D111" s="94">
        <v>43040</v>
      </c>
      <c r="E111" s="41" t="s">
        <v>139</v>
      </c>
      <c r="F111" s="41" t="s">
        <v>139</v>
      </c>
      <c r="G111" s="41" t="s">
        <v>139</v>
      </c>
      <c r="H111" s="41" t="s">
        <v>139</v>
      </c>
      <c r="I111" s="41" t="s">
        <v>139</v>
      </c>
      <c r="J111" s="41" t="s">
        <v>139</v>
      </c>
      <c r="K111" s="41"/>
      <c r="L111" s="41"/>
      <c r="M111" s="41">
        <v>43040</v>
      </c>
      <c r="N111" s="41">
        <v>43045</v>
      </c>
      <c r="O111" s="41" t="s">
        <v>139</v>
      </c>
      <c r="P111" s="41">
        <v>43047</v>
      </c>
      <c r="Q111" s="41" t="s">
        <v>139</v>
      </c>
      <c r="R111" s="96" t="s">
        <v>178</v>
      </c>
      <c r="S111" s="96" t="s">
        <v>169</v>
      </c>
      <c r="T111" s="92">
        <v>1</v>
      </c>
      <c r="U111" s="38"/>
      <c r="V111" s="38"/>
    </row>
    <row r="112" spans="1:22" ht="30" customHeight="1" x14ac:dyDescent="0.15">
      <c r="A112" s="90"/>
      <c r="B112" s="91"/>
      <c r="C112" s="93"/>
      <c r="D112" s="95"/>
      <c r="E112" s="41" t="s">
        <v>139</v>
      </c>
      <c r="F112" s="41" t="s">
        <v>139</v>
      </c>
      <c r="G112" s="41" t="s">
        <v>139</v>
      </c>
      <c r="H112" s="41" t="s">
        <v>139</v>
      </c>
      <c r="I112" s="41" t="s">
        <v>139</v>
      </c>
      <c r="J112" s="41" t="s">
        <v>139</v>
      </c>
      <c r="K112" s="41" t="str">
        <f ca="1">IF(K111="","注意",IF(K111=TODAY(),"预警",IF(K111&lt;TODAY(),"延期","")))</f>
        <v>注意</v>
      </c>
      <c r="L112" s="41" t="str">
        <f ca="1">IF(L111="","注意",IF(L111=TODAY(),"预警",IF(L111&lt;TODAY(),"延期","")))</f>
        <v>注意</v>
      </c>
      <c r="M112" s="41">
        <v>43040</v>
      </c>
      <c r="N112" s="41">
        <v>43045</v>
      </c>
      <c r="O112" s="41" t="s">
        <v>139</v>
      </c>
      <c r="P112" s="41">
        <v>43048</v>
      </c>
      <c r="Q112" s="41" t="s">
        <v>139</v>
      </c>
      <c r="R112" s="97"/>
      <c r="S112" s="97"/>
      <c r="T112" s="93"/>
      <c r="U112" s="38"/>
      <c r="V112" s="38"/>
    </row>
  </sheetData>
  <mergeCells count="349">
    <mergeCell ref="T109:T110"/>
    <mergeCell ref="S111:S112"/>
    <mergeCell ref="T111:T112"/>
    <mergeCell ref="A111:A112"/>
    <mergeCell ref="B111:B112"/>
    <mergeCell ref="C111:C112"/>
    <mergeCell ref="D111:D112"/>
    <mergeCell ref="R111:R112"/>
    <mergeCell ref="A109:A110"/>
    <mergeCell ref="B109:B110"/>
    <mergeCell ref="C109:C110"/>
    <mergeCell ref="D109:D110"/>
    <mergeCell ref="R109:R110"/>
    <mergeCell ref="S109:S110"/>
    <mergeCell ref="T105:T106"/>
    <mergeCell ref="A107:A108"/>
    <mergeCell ref="B107:B108"/>
    <mergeCell ref="C107:C108"/>
    <mergeCell ref="D107:D108"/>
    <mergeCell ref="R107:R108"/>
    <mergeCell ref="S107:S108"/>
    <mergeCell ref="T107:T108"/>
    <mergeCell ref="A105:A106"/>
    <mergeCell ref="B105:B106"/>
    <mergeCell ref="C105:C106"/>
    <mergeCell ref="D105:D106"/>
    <mergeCell ref="R105:R106"/>
    <mergeCell ref="S105:S106"/>
    <mergeCell ref="T101:T102"/>
    <mergeCell ref="A103:A104"/>
    <mergeCell ref="B103:B104"/>
    <mergeCell ref="C103:C104"/>
    <mergeCell ref="D103:D104"/>
    <mergeCell ref="R103:R104"/>
    <mergeCell ref="S103:S104"/>
    <mergeCell ref="T103:T104"/>
    <mergeCell ref="A101:A102"/>
    <mergeCell ref="B101:B102"/>
    <mergeCell ref="C101:C102"/>
    <mergeCell ref="D101:D102"/>
    <mergeCell ref="R101:R102"/>
    <mergeCell ref="S101:S102"/>
    <mergeCell ref="T97:T98"/>
    <mergeCell ref="A99:A100"/>
    <mergeCell ref="B99:B100"/>
    <mergeCell ref="C99:C100"/>
    <mergeCell ref="D99:D100"/>
    <mergeCell ref="R99:R100"/>
    <mergeCell ref="S99:S100"/>
    <mergeCell ref="T99:T100"/>
    <mergeCell ref="A97:A98"/>
    <mergeCell ref="B97:B98"/>
    <mergeCell ref="C97:C98"/>
    <mergeCell ref="D97:D98"/>
    <mergeCell ref="R97:R98"/>
    <mergeCell ref="S97:S98"/>
    <mergeCell ref="T93:T94"/>
    <mergeCell ref="A95:A96"/>
    <mergeCell ref="B95:B96"/>
    <mergeCell ref="C95:C96"/>
    <mergeCell ref="D95:D96"/>
    <mergeCell ref="R95:R96"/>
    <mergeCell ref="S95:S96"/>
    <mergeCell ref="T95:T96"/>
    <mergeCell ref="A93:A94"/>
    <mergeCell ref="B93:B94"/>
    <mergeCell ref="C93:C94"/>
    <mergeCell ref="D93:D94"/>
    <mergeCell ref="R93:R94"/>
    <mergeCell ref="S93:S94"/>
    <mergeCell ref="T89:T90"/>
    <mergeCell ref="A91:A92"/>
    <mergeCell ref="B91:B92"/>
    <mergeCell ref="C91:C92"/>
    <mergeCell ref="D91:D92"/>
    <mergeCell ref="R91:R92"/>
    <mergeCell ref="S91:S92"/>
    <mergeCell ref="T91:T92"/>
    <mergeCell ref="A89:A90"/>
    <mergeCell ref="B89:B90"/>
    <mergeCell ref="C89:C90"/>
    <mergeCell ref="D89:D90"/>
    <mergeCell ref="R89:R90"/>
    <mergeCell ref="S89:S90"/>
    <mergeCell ref="T85:T86"/>
    <mergeCell ref="A87:A88"/>
    <mergeCell ref="B87:B88"/>
    <mergeCell ref="C87:C88"/>
    <mergeCell ref="D87:D88"/>
    <mergeCell ref="R87:R88"/>
    <mergeCell ref="S87:S88"/>
    <mergeCell ref="T87:T88"/>
    <mergeCell ref="A85:A86"/>
    <mergeCell ref="B85:B86"/>
    <mergeCell ref="C85:C86"/>
    <mergeCell ref="D85:D86"/>
    <mergeCell ref="R85:R86"/>
    <mergeCell ref="S85:S86"/>
    <mergeCell ref="T80:T82"/>
    <mergeCell ref="A83:A84"/>
    <mergeCell ref="B83:B84"/>
    <mergeCell ref="C83:C84"/>
    <mergeCell ref="D83:D84"/>
    <mergeCell ref="R83:R84"/>
    <mergeCell ref="S83:S84"/>
    <mergeCell ref="T83:T84"/>
    <mergeCell ref="A80:A82"/>
    <mergeCell ref="B80:B82"/>
    <mergeCell ref="C80:C82"/>
    <mergeCell ref="D80:D82"/>
    <mergeCell ref="R80:R82"/>
    <mergeCell ref="S80:S82"/>
    <mergeCell ref="T76:T77"/>
    <mergeCell ref="A78:A79"/>
    <mergeCell ref="B78:B79"/>
    <mergeCell ref="C78:C79"/>
    <mergeCell ref="D78:D79"/>
    <mergeCell ref="R78:R79"/>
    <mergeCell ref="S78:S79"/>
    <mergeCell ref="T78:T79"/>
    <mergeCell ref="A76:A77"/>
    <mergeCell ref="B76:B77"/>
    <mergeCell ref="C76:C77"/>
    <mergeCell ref="D76:D77"/>
    <mergeCell ref="R76:R77"/>
    <mergeCell ref="S76:S77"/>
    <mergeCell ref="T72:T73"/>
    <mergeCell ref="A74:A75"/>
    <mergeCell ref="B74:B75"/>
    <mergeCell ref="C74:C75"/>
    <mergeCell ref="D74:D75"/>
    <mergeCell ref="R74:R75"/>
    <mergeCell ref="S74:S75"/>
    <mergeCell ref="T74:T75"/>
    <mergeCell ref="A72:A73"/>
    <mergeCell ref="B72:B73"/>
    <mergeCell ref="C72:C73"/>
    <mergeCell ref="D72:D73"/>
    <mergeCell ref="R72:R73"/>
    <mergeCell ref="S72:S73"/>
    <mergeCell ref="A70:A71"/>
    <mergeCell ref="B70:B71"/>
    <mergeCell ref="C70:C71"/>
    <mergeCell ref="D70:D71"/>
    <mergeCell ref="R70:R71"/>
    <mergeCell ref="S70:S71"/>
    <mergeCell ref="A68:A69"/>
    <mergeCell ref="B68:B69"/>
    <mergeCell ref="C68:C69"/>
    <mergeCell ref="D68:D69"/>
    <mergeCell ref="R68:R69"/>
    <mergeCell ref="S68:S69"/>
    <mergeCell ref="A66:A67"/>
    <mergeCell ref="B66:B67"/>
    <mergeCell ref="C66:C67"/>
    <mergeCell ref="D66:D67"/>
    <mergeCell ref="R66:R67"/>
    <mergeCell ref="S66:S67"/>
    <mergeCell ref="A64:A65"/>
    <mergeCell ref="B64:B65"/>
    <mergeCell ref="C64:C65"/>
    <mergeCell ref="D64:D65"/>
    <mergeCell ref="R64:R65"/>
    <mergeCell ref="S64:S65"/>
    <mergeCell ref="A62:A63"/>
    <mergeCell ref="B62:B63"/>
    <mergeCell ref="C62:C63"/>
    <mergeCell ref="D62:D63"/>
    <mergeCell ref="R62:R63"/>
    <mergeCell ref="S62:S63"/>
    <mergeCell ref="A60:A61"/>
    <mergeCell ref="B60:B61"/>
    <mergeCell ref="C60:C61"/>
    <mergeCell ref="D60:D61"/>
    <mergeCell ref="R60:R61"/>
    <mergeCell ref="S60:S61"/>
    <mergeCell ref="A58:A59"/>
    <mergeCell ref="B58:B59"/>
    <mergeCell ref="C58:C59"/>
    <mergeCell ref="D58:D59"/>
    <mergeCell ref="R58:R59"/>
    <mergeCell ref="S58:S59"/>
    <mergeCell ref="A56:A57"/>
    <mergeCell ref="B56:B57"/>
    <mergeCell ref="C56:C57"/>
    <mergeCell ref="D56:D57"/>
    <mergeCell ref="R56:R57"/>
    <mergeCell ref="S56:S57"/>
    <mergeCell ref="A54:A55"/>
    <mergeCell ref="B54:B55"/>
    <mergeCell ref="C54:C55"/>
    <mergeCell ref="D54:D55"/>
    <mergeCell ref="R54:R55"/>
    <mergeCell ref="S54:S55"/>
    <mergeCell ref="A52:A53"/>
    <mergeCell ref="B52:B53"/>
    <mergeCell ref="C52:C53"/>
    <mergeCell ref="D52:D53"/>
    <mergeCell ref="R52:R53"/>
    <mergeCell ref="S52:S53"/>
    <mergeCell ref="A50:A51"/>
    <mergeCell ref="B50:B51"/>
    <mergeCell ref="C50:C51"/>
    <mergeCell ref="D50:D51"/>
    <mergeCell ref="R50:R51"/>
    <mergeCell ref="S50:S51"/>
    <mergeCell ref="A48:A49"/>
    <mergeCell ref="B48:B49"/>
    <mergeCell ref="C48:C49"/>
    <mergeCell ref="D48:D49"/>
    <mergeCell ref="R48:R49"/>
    <mergeCell ref="S48:S49"/>
    <mergeCell ref="A46:A47"/>
    <mergeCell ref="B46:B47"/>
    <mergeCell ref="C46:C47"/>
    <mergeCell ref="D46:D47"/>
    <mergeCell ref="R46:R47"/>
    <mergeCell ref="S46:S47"/>
    <mergeCell ref="T41:T42"/>
    <mergeCell ref="A43:S43"/>
    <mergeCell ref="A44:A45"/>
    <mergeCell ref="B44:B45"/>
    <mergeCell ref="C44:C45"/>
    <mergeCell ref="D44:D45"/>
    <mergeCell ref="R44:R45"/>
    <mergeCell ref="S44:S45"/>
    <mergeCell ref="A41:A42"/>
    <mergeCell ref="B41:B42"/>
    <mergeCell ref="C41:C42"/>
    <mergeCell ref="D41:D42"/>
    <mergeCell ref="R41:R42"/>
    <mergeCell ref="S41:S42"/>
    <mergeCell ref="T37:T38"/>
    <mergeCell ref="A39:A40"/>
    <mergeCell ref="B39:B40"/>
    <mergeCell ref="C39:C40"/>
    <mergeCell ref="D39:D40"/>
    <mergeCell ref="R39:R40"/>
    <mergeCell ref="S39:S40"/>
    <mergeCell ref="T39:T40"/>
    <mergeCell ref="A37:A38"/>
    <mergeCell ref="B37:B38"/>
    <mergeCell ref="C37:C38"/>
    <mergeCell ref="D37:D38"/>
    <mergeCell ref="R37:R38"/>
    <mergeCell ref="S37:S38"/>
    <mergeCell ref="T31:T33"/>
    <mergeCell ref="A34:A36"/>
    <mergeCell ref="B34:B36"/>
    <mergeCell ref="C34:C36"/>
    <mergeCell ref="D34:D36"/>
    <mergeCell ref="R34:R36"/>
    <mergeCell ref="S34:S36"/>
    <mergeCell ref="T34:T36"/>
    <mergeCell ref="A31:A33"/>
    <mergeCell ref="B31:B33"/>
    <mergeCell ref="C31:C33"/>
    <mergeCell ref="D31:D33"/>
    <mergeCell ref="R31:R33"/>
    <mergeCell ref="S31:S33"/>
    <mergeCell ref="T27:T28"/>
    <mergeCell ref="A29:A30"/>
    <mergeCell ref="B29:B30"/>
    <mergeCell ref="C29:C30"/>
    <mergeCell ref="D29:D30"/>
    <mergeCell ref="R29:R30"/>
    <mergeCell ref="S29:S30"/>
    <mergeCell ref="T29:T30"/>
    <mergeCell ref="A27:A28"/>
    <mergeCell ref="B27:B28"/>
    <mergeCell ref="C27:C28"/>
    <mergeCell ref="D27:D28"/>
    <mergeCell ref="R27:R28"/>
    <mergeCell ref="S27:S28"/>
    <mergeCell ref="T23:T24"/>
    <mergeCell ref="A25:A26"/>
    <mergeCell ref="B25:B26"/>
    <mergeCell ref="C25:C26"/>
    <mergeCell ref="D25:D26"/>
    <mergeCell ref="R25:R26"/>
    <mergeCell ref="S25:S26"/>
    <mergeCell ref="T25:T26"/>
    <mergeCell ref="A23:A24"/>
    <mergeCell ref="B23:B24"/>
    <mergeCell ref="C23:C24"/>
    <mergeCell ref="D23:D24"/>
    <mergeCell ref="R23:R24"/>
    <mergeCell ref="S23:S24"/>
    <mergeCell ref="T19:T20"/>
    <mergeCell ref="A21:A22"/>
    <mergeCell ref="B21:B22"/>
    <mergeCell ref="C21:C22"/>
    <mergeCell ref="D21:D22"/>
    <mergeCell ref="R21:R22"/>
    <mergeCell ref="S21:S22"/>
    <mergeCell ref="T21:T22"/>
    <mergeCell ref="A19:A20"/>
    <mergeCell ref="B19:B20"/>
    <mergeCell ref="C19:C20"/>
    <mergeCell ref="D19:D20"/>
    <mergeCell ref="R19:R20"/>
    <mergeCell ref="S19:S20"/>
    <mergeCell ref="A17:A18"/>
    <mergeCell ref="B17:B18"/>
    <mergeCell ref="C17:C18"/>
    <mergeCell ref="D17:D18"/>
    <mergeCell ref="R17:R18"/>
    <mergeCell ref="S17:S18"/>
    <mergeCell ref="A15:A16"/>
    <mergeCell ref="B15:B16"/>
    <mergeCell ref="C15:C16"/>
    <mergeCell ref="D15:D16"/>
    <mergeCell ref="R15:R16"/>
    <mergeCell ref="S15:S16"/>
    <mergeCell ref="A13:A14"/>
    <mergeCell ref="B13:B14"/>
    <mergeCell ref="C13:C14"/>
    <mergeCell ref="D13:D14"/>
    <mergeCell ref="R13:R14"/>
    <mergeCell ref="S13:S14"/>
    <mergeCell ref="S9:S10"/>
    <mergeCell ref="A11:A12"/>
    <mergeCell ref="B11:B12"/>
    <mergeCell ref="C11:C12"/>
    <mergeCell ref="D11:D12"/>
    <mergeCell ref="S11:S12"/>
    <mergeCell ref="A7:A8"/>
    <mergeCell ref="B7:B8"/>
    <mergeCell ref="C7:C8"/>
    <mergeCell ref="D7:D8"/>
    <mergeCell ref="R7:R12"/>
    <mergeCell ref="S7:S8"/>
    <mergeCell ref="A9:A10"/>
    <mergeCell ref="B9:B10"/>
    <mergeCell ref="C9:C10"/>
    <mergeCell ref="D9:D10"/>
    <mergeCell ref="A5:A6"/>
    <mergeCell ref="B5:B6"/>
    <mergeCell ref="C5:C6"/>
    <mergeCell ref="D5:D6"/>
    <mergeCell ref="R5:R6"/>
    <mergeCell ref="S5:S6"/>
    <mergeCell ref="A2:S2"/>
    <mergeCell ref="A3:A4"/>
    <mergeCell ref="B3:B4"/>
    <mergeCell ref="C3:C4"/>
    <mergeCell ref="D3:D4"/>
    <mergeCell ref="R3:R4"/>
    <mergeCell ref="S3:S4"/>
  </mergeCells>
  <phoneticPr fontId="1" type="noConversion"/>
  <conditionalFormatting sqref="E12:Q12">
    <cfRule type="containsText" dxfId="366" priority="37" operator="containsText" text="注意">
      <formula>NOT(ISERROR(SEARCH("注意",E61)))</formula>
    </cfRule>
    <cfRule type="containsText" dxfId="365" priority="38" operator="containsText" text="延期">
      <formula>NOT(ISERROR(SEARCH("延期",E61)))</formula>
    </cfRule>
    <cfRule type="containsText" dxfId="364" priority="39" operator="containsText" text="预警">
      <formula>NOT(ISERROR(SEARCH("预警",E61)))</formula>
    </cfRule>
  </conditionalFormatting>
  <conditionalFormatting sqref="E45:Q45">
    <cfRule type="containsText" dxfId="363" priority="40" operator="containsText" text="注意">
      <formula>NOT(ISERROR(SEARCH("注意",E63)))</formula>
    </cfRule>
    <cfRule type="containsText" dxfId="362" priority="41" operator="containsText" text="延期">
      <formula>NOT(ISERROR(SEARCH("延期",E63)))</formula>
    </cfRule>
    <cfRule type="containsText" dxfId="361" priority="42" operator="containsText" text="预警">
      <formula>NOT(ISERROR(SEARCH("预警",E63)))</formula>
    </cfRule>
  </conditionalFormatting>
  <conditionalFormatting sqref="E57:I57 M57:Q57">
    <cfRule type="containsText" dxfId="360" priority="43" operator="containsText" text="注意">
      <formula>NOT(ISERROR(SEARCH("注意",E16)))</formula>
    </cfRule>
    <cfRule type="containsText" dxfId="359" priority="44" operator="containsText" text="延期">
      <formula>NOT(ISERROR(SEARCH("延期",E16)))</formula>
    </cfRule>
    <cfRule type="containsText" dxfId="358" priority="45" operator="containsText" text="预警">
      <formula>NOT(ISERROR(SEARCH("预警",E16)))</formula>
    </cfRule>
  </conditionalFormatting>
  <conditionalFormatting sqref="P55">
    <cfRule type="containsText" dxfId="357" priority="46" operator="containsText" text="注意">
      <formula>NOT(ISERROR(SEARCH("注意",P18)))</formula>
    </cfRule>
    <cfRule type="containsText" dxfId="356" priority="47" operator="containsText" text="延期">
      <formula>NOT(ISERROR(SEARCH("延期",P18)))</formula>
    </cfRule>
    <cfRule type="containsText" dxfId="355" priority="48" operator="containsText" text="预警">
      <formula>NOT(ISERROR(SEARCH("预警",P18)))</formula>
    </cfRule>
  </conditionalFormatting>
  <conditionalFormatting sqref="O53">
    <cfRule type="containsText" dxfId="354" priority="25" operator="containsText" text="注意">
      <formula>NOT(ISERROR(SEARCH("注意",O12)))</formula>
    </cfRule>
    <cfRule type="containsText" dxfId="353" priority="26" operator="containsText" text="延期">
      <formula>NOT(ISERROR(SEARCH("延期",O12)))</formula>
    </cfRule>
    <cfRule type="containsText" dxfId="352" priority="27" operator="containsText" text="预警">
      <formula>NOT(ISERROR(SEARCH("预警",O12)))</formula>
    </cfRule>
  </conditionalFormatting>
  <conditionalFormatting sqref="J57">
    <cfRule type="containsText" dxfId="351" priority="22" operator="containsText" text="注意">
      <formula>NOT(ISERROR(SEARCH("注意",J16)))</formula>
    </cfRule>
    <cfRule type="containsText" dxfId="350" priority="23" operator="containsText" text="延期">
      <formula>NOT(ISERROR(SEARCH("延期",J16)))</formula>
    </cfRule>
    <cfRule type="containsText" dxfId="349" priority="24" operator="containsText" text="预警">
      <formula>NOT(ISERROR(SEARCH("预警",J16)))</formula>
    </cfRule>
  </conditionalFormatting>
  <conditionalFormatting sqref="Q53">
    <cfRule type="containsText" dxfId="348" priority="19" operator="containsText" text="注意">
      <formula>NOT(ISERROR(SEARCH("注意",Q12)))</formula>
    </cfRule>
    <cfRule type="containsText" dxfId="347" priority="20" operator="containsText" text="延期">
      <formula>NOT(ISERROR(SEARCH("延期",Q12)))</formula>
    </cfRule>
    <cfRule type="containsText" dxfId="346" priority="21" operator="containsText" text="预警">
      <formula>NOT(ISERROR(SEARCH("预警",Q12)))</formula>
    </cfRule>
  </conditionalFormatting>
  <conditionalFormatting sqref="E18:Q18">
    <cfRule type="containsText" dxfId="345" priority="49" operator="containsText" text="注意">
      <formula>NOT(ISERROR(SEARCH("注意",E76)))</formula>
    </cfRule>
    <cfRule type="containsText" dxfId="344" priority="50" operator="containsText" text="延期">
      <formula>NOT(ISERROR(SEARCH("延期",E76)))</formula>
    </cfRule>
    <cfRule type="containsText" dxfId="343" priority="51" operator="containsText" text="预警">
      <formula>NOT(ISERROR(SEARCH("预警",E76)))</formula>
    </cfRule>
  </conditionalFormatting>
  <conditionalFormatting sqref="O51:Q51">
    <cfRule type="containsText" dxfId="342" priority="70" operator="containsText" text="注意">
      <formula>NOT(ISERROR(SEARCH("注意",O19)))</formula>
    </cfRule>
    <cfRule type="containsText" dxfId="341" priority="71" operator="containsText" text="延期">
      <formula>NOT(ISERROR(SEARCH("延期",O19)))</formula>
    </cfRule>
    <cfRule type="containsText" dxfId="340" priority="72" operator="containsText" text="预警">
      <formula>NOT(ISERROR(SEARCH("预警",O19)))</formula>
    </cfRule>
  </conditionalFormatting>
  <conditionalFormatting sqref="E16:P16">
    <cfRule type="containsText" dxfId="339" priority="73" operator="containsText" text="注意">
      <formula>NOT(ISERROR(SEARCH("注意",E20)))</formula>
    </cfRule>
    <cfRule type="containsText" dxfId="338" priority="74" operator="containsText" text="延期">
      <formula>NOT(ISERROR(SEARCH("延期",E20)))</formula>
    </cfRule>
    <cfRule type="containsText" dxfId="337" priority="75" operator="containsText" text="预警">
      <formula>NOT(ISERROR(SEARCH("预警",E20)))</formula>
    </cfRule>
  </conditionalFormatting>
  <conditionalFormatting sqref="E47:Q47">
    <cfRule type="containsText" dxfId="336" priority="76" operator="containsText" text="注意">
      <formula>NOT(ISERROR(SEARCH("注意",E85)))</formula>
    </cfRule>
    <cfRule type="containsText" dxfId="335" priority="77" operator="containsText" text="延期">
      <formula>NOT(ISERROR(SEARCH("延期",E85)))</formula>
    </cfRule>
    <cfRule type="containsText" dxfId="334" priority="78" operator="containsText" text="预警">
      <formula>NOT(ISERROR(SEARCH("预警",E85)))</formula>
    </cfRule>
  </conditionalFormatting>
  <conditionalFormatting sqref="E14:P14">
    <cfRule type="containsText" dxfId="333" priority="79" operator="containsText" text="注意">
      <formula>NOT(ISERROR(SEARCH("注意",E86)))</formula>
    </cfRule>
    <cfRule type="containsText" dxfId="332" priority="80" operator="containsText" text="延期">
      <formula>NOT(ISERROR(SEARCH("延期",E86)))</formula>
    </cfRule>
    <cfRule type="containsText" dxfId="331" priority="81" operator="containsText" text="预警">
      <formula>NOT(ISERROR(SEARCH("预警",E86)))</formula>
    </cfRule>
  </conditionalFormatting>
  <conditionalFormatting sqref="K22:L22">
    <cfRule type="containsText" dxfId="330" priority="13" operator="containsText" text="注意">
      <formula>NOT(ISERROR(SEARCH("注意",K60)))</formula>
    </cfRule>
    <cfRule type="containsText" dxfId="329" priority="14" operator="containsText" text="延期">
      <formula>NOT(ISERROR(SEARCH("延期",K60)))</formula>
    </cfRule>
    <cfRule type="containsText" dxfId="328" priority="15" operator="containsText" text="预警">
      <formula>NOT(ISERROR(SEARCH("预警",K60)))</formula>
    </cfRule>
  </conditionalFormatting>
  <conditionalFormatting sqref="K24:L24">
    <cfRule type="containsText" dxfId="327" priority="7" operator="containsText" text="注意">
      <formula>NOT(ISERROR(SEARCH("注意",K58)))</formula>
    </cfRule>
    <cfRule type="containsText" dxfId="326" priority="8" operator="containsText" text="延期">
      <formula>NOT(ISERROR(SEARCH("延期",K58)))</formula>
    </cfRule>
    <cfRule type="containsText" dxfId="325" priority="9" operator="containsText" text="预警">
      <formula>NOT(ISERROR(SEARCH("预警",K58)))</formula>
    </cfRule>
  </conditionalFormatting>
  <conditionalFormatting sqref="K32:L32 K34:L34 K36:L36">
    <cfRule type="containsText" dxfId="324" priority="10" operator="containsText" text="注意">
      <formula>NOT(ISERROR(SEARCH("注意",K82)))</formula>
    </cfRule>
    <cfRule type="containsText" dxfId="323" priority="11" operator="containsText" text="延期">
      <formula>NOT(ISERROR(SEARCH("延期",K82)))</formula>
    </cfRule>
    <cfRule type="containsText" dxfId="322" priority="12" operator="containsText" text="预警">
      <formula>NOT(ISERROR(SEARCH("预警",K82)))</formula>
    </cfRule>
  </conditionalFormatting>
  <conditionalFormatting sqref="E75:N75 P75:Q75">
    <cfRule type="containsText" dxfId="321" priority="85" operator="containsText" text="注意">
      <formula>NOT(ISERROR(SEARCH("注意",E87)))</formula>
    </cfRule>
    <cfRule type="containsText" dxfId="320" priority="86" operator="containsText" text="延期">
      <formula>NOT(ISERROR(SEARCH("延期",E87)))</formula>
    </cfRule>
    <cfRule type="containsText" dxfId="319" priority="87" operator="containsText" text="预警">
      <formula>NOT(ISERROR(SEARCH("预警",E87)))</formula>
    </cfRule>
  </conditionalFormatting>
  <conditionalFormatting sqref="E26:J26 P26:Q26 M26:N26">
    <cfRule type="containsText" dxfId="318" priority="88" operator="containsText" text="注意">
      <formula>NOT(ISERROR(SEARCH("注意",E87)))</formula>
    </cfRule>
    <cfRule type="containsText" dxfId="317" priority="89" operator="containsText" text="延期">
      <formula>NOT(ISERROR(SEARCH("延期",E87)))</formula>
    </cfRule>
    <cfRule type="containsText" dxfId="316" priority="90" operator="containsText" text="预警">
      <formula>NOT(ISERROR(SEARCH("预警",E87)))</formula>
    </cfRule>
  </conditionalFormatting>
  <conditionalFormatting sqref="E61:L61 N61:Q61 E59:Q59 E63:L63 N63:Q63">
    <cfRule type="containsText" dxfId="315" priority="91" operator="containsText" text="注意">
      <formula>NOT(ISERROR(SEARCH("注意",E91)))</formula>
    </cfRule>
    <cfRule type="containsText" dxfId="314" priority="92" operator="containsText" text="延期">
      <formula>NOT(ISERROR(SEARCH("延期",E91)))</formula>
    </cfRule>
    <cfRule type="containsText" dxfId="313" priority="93" operator="containsText" text="预警">
      <formula>NOT(ISERROR(SEARCH("预警",E91)))</formula>
    </cfRule>
  </conditionalFormatting>
  <conditionalFormatting sqref="E69:N69 P69:Q69 P71:Q71 E71:N71">
    <cfRule type="containsText" dxfId="312" priority="97" operator="containsText" text="注意">
      <formula>NOT(ISERROR(SEARCH("注意",E99)))</formula>
    </cfRule>
    <cfRule type="containsText" dxfId="311" priority="98" operator="containsText" text="延期">
      <formula>NOT(ISERROR(SEARCH("延期",E99)))</formula>
    </cfRule>
    <cfRule type="containsText" dxfId="310" priority="99" operator="containsText" text="预警">
      <formula>NOT(ISERROR(SEARCH("预警",E99)))</formula>
    </cfRule>
  </conditionalFormatting>
  <conditionalFormatting sqref="M22:P22 E22:J22">
    <cfRule type="containsText" dxfId="309" priority="100" operator="containsText" text="注意">
      <formula>NOT(ISERROR(SEARCH("注意",E100)))</formula>
    </cfRule>
    <cfRule type="containsText" dxfId="308" priority="101" operator="containsText" text="延期">
      <formula>NOT(ISERROR(SEARCH("延期",E100)))</formula>
    </cfRule>
    <cfRule type="containsText" dxfId="307" priority="102" operator="containsText" text="预警">
      <formula>NOT(ISERROR(SEARCH("预警",E100)))</formula>
    </cfRule>
  </conditionalFormatting>
  <conditionalFormatting sqref="K26:L26 K28:L28 K30:L30">
    <cfRule type="containsText" dxfId="306" priority="106" operator="containsText" text="注意">
      <formula>NOT(ISERROR(SEARCH("注意",K80)))</formula>
    </cfRule>
    <cfRule type="containsText" dxfId="305" priority="107" operator="containsText" text="延期">
      <formula>NOT(ISERROR(SEARCH("延期",K80)))</formula>
    </cfRule>
    <cfRule type="containsText" dxfId="304" priority="108" operator="containsText" text="预警">
      <formula>NOT(ISERROR(SEARCH("预警",K80)))</formula>
    </cfRule>
  </conditionalFormatting>
  <conditionalFormatting sqref="P53">
    <cfRule type="containsText" dxfId="303" priority="112" operator="containsText" text="注意">
      <formula>NOT(ISERROR(SEARCH("注意",P37)))</formula>
    </cfRule>
    <cfRule type="containsText" dxfId="302" priority="113" operator="containsText" text="延期">
      <formula>NOT(ISERROR(SEARCH("延期",P37)))</formula>
    </cfRule>
    <cfRule type="containsText" dxfId="301" priority="114" operator="containsText" text="预警">
      <formula>NOT(ISERROR(SEARCH("预警",P37)))</formula>
    </cfRule>
  </conditionalFormatting>
  <conditionalFormatting sqref="A18">
    <cfRule type="containsText" dxfId="300" priority="115" operator="containsText" text="注意">
      <formula>NOT(ISERROR(SEARCH("注意",A37)))</formula>
    </cfRule>
    <cfRule type="containsText" dxfId="299" priority="116" operator="containsText" text="延期">
      <formula>NOT(ISERROR(SEARCH("延期",A37)))</formula>
    </cfRule>
    <cfRule type="containsText" dxfId="298" priority="117" operator="containsText" text="预警">
      <formula>NOT(ISERROR(SEARCH("预警",A37)))</formula>
    </cfRule>
  </conditionalFormatting>
  <conditionalFormatting sqref="O55">
    <cfRule type="containsText" dxfId="297" priority="136" operator="containsText" text="注意">
      <formula>NOT(ISERROR(SEARCH("注意",P39)))</formula>
    </cfRule>
    <cfRule type="containsText" dxfId="296" priority="137" operator="containsText" text="延期">
      <formula>NOT(ISERROR(SEARCH("延期",P39)))</formula>
    </cfRule>
    <cfRule type="containsText" dxfId="295" priority="138" operator="containsText" text="预警">
      <formula>NOT(ISERROR(SEARCH("预警",P39)))</formula>
    </cfRule>
  </conditionalFormatting>
  <conditionalFormatting sqref="F51:M51">
    <cfRule type="containsText" dxfId="294" priority="139" operator="containsText" text="注意">
      <formula>NOT(ISERROR(SEARCH("注意",F40)))</formula>
    </cfRule>
    <cfRule type="containsText" dxfId="293" priority="140" operator="containsText" text="延期">
      <formula>NOT(ISERROR(SEARCH("延期",F40)))</formula>
    </cfRule>
    <cfRule type="containsText" dxfId="292" priority="141" operator="containsText" text="预警">
      <formula>NOT(ISERROR(SEARCH("预警",F40)))</formula>
    </cfRule>
  </conditionalFormatting>
  <conditionalFormatting sqref="F19 E20:M20">
    <cfRule type="containsText" dxfId="291" priority="142" operator="containsText" text="注意">
      <formula>NOT(ISERROR(SEARCH("注意",E41)))</formula>
    </cfRule>
    <cfRule type="containsText" dxfId="290" priority="143" operator="containsText" text="延期">
      <formula>NOT(ISERROR(SEARCH("延期",E41)))</formula>
    </cfRule>
    <cfRule type="containsText" dxfId="289" priority="144" operator="containsText" text="预警">
      <formula>NOT(ISERROR(SEARCH("预警",E41)))</formula>
    </cfRule>
  </conditionalFormatting>
  <conditionalFormatting sqref="N51">
    <cfRule type="containsText" dxfId="288" priority="145" operator="containsText" text="注意">
      <formula>NOT(ISERROR(SEARCH("注意",O40)))</formula>
    </cfRule>
    <cfRule type="containsText" dxfId="287" priority="146" operator="containsText" text="延期">
      <formula>NOT(ISERROR(SEARCH("延期",O40)))</formula>
    </cfRule>
    <cfRule type="containsText" dxfId="286" priority="147" operator="containsText" text="预警">
      <formula>NOT(ISERROR(SEARCH("预警",O40)))</formula>
    </cfRule>
  </conditionalFormatting>
  <conditionalFormatting sqref="N20">
    <cfRule type="containsText" dxfId="285" priority="148" operator="containsText" text="注意">
      <formula>NOT(ISERROR(SEARCH("注意",O42)))</formula>
    </cfRule>
    <cfRule type="containsText" dxfId="284" priority="149" operator="containsText" text="延期">
      <formula>NOT(ISERROR(SEARCH("延期",O42)))</formula>
    </cfRule>
    <cfRule type="containsText" dxfId="283" priority="150" operator="containsText" text="预警">
      <formula>NOT(ISERROR(SEARCH("预警",O42)))</formula>
    </cfRule>
  </conditionalFormatting>
  <conditionalFormatting sqref="Q55">
    <cfRule type="containsText" dxfId="282" priority="151" operator="containsText" text="注意">
      <formula>NOT(ISERROR(SEARCH("注意",#REF!)))</formula>
    </cfRule>
    <cfRule type="containsText" dxfId="281" priority="152" operator="containsText" text="延期">
      <formula>NOT(ISERROR(SEARCH("延期",#REF!)))</formula>
    </cfRule>
    <cfRule type="containsText" dxfId="280" priority="153" operator="containsText" text="预警">
      <formula>NOT(ISERROR(SEARCH("预警",#REF!)))</formula>
    </cfRule>
  </conditionalFormatting>
  <conditionalFormatting sqref="E108:J108 M108">
    <cfRule type="containsText" dxfId="279" priority="154" operator="containsText" text="注意">
      <formula>NOT(ISERROR(SEARCH("注意",E109)))</formula>
    </cfRule>
    <cfRule type="containsText" dxfId="278" priority="155" operator="containsText" text="延期">
      <formula>NOT(ISERROR(SEARCH("延期",E109)))</formula>
    </cfRule>
    <cfRule type="containsText" dxfId="277" priority="156" operator="containsText" text="预警">
      <formula>NOT(ISERROR(SEARCH("预警",E109)))</formula>
    </cfRule>
  </conditionalFormatting>
  <conditionalFormatting sqref="N108:Q108">
    <cfRule type="containsText" dxfId="276" priority="157" operator="containsText" text="注意">
      <formula>NOT(ISERROR(SEARCH("注意",N109)))</formula>
    </cfRule>
    <cfRule type="containsText" dxfId="275" priority="158" operator="containsText" text="延期">
      <formula>NOT(ISERROR(SEARCH("延期",N109)))</formula>
    </cfRule>
    <cfRule type="containsText" dxfId="274" priority="159" operator="containsText" text="预警">
      <formula>NOT(ISERROR(SEARCH("预警",N109)))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" operator="containsText" text="注意" id="{40F1E6E1-6863-453F-B039-9D8A4175BF6D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9" operator="containsText" text="延期" id="{48980F20-2BB6-414B-9D59-5CEE962D87B0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30" operator="containsText" text="预警" id="{B8B2B7BC-807B-44DB-BB46-14CD0291AD4C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E84:J84 I93:I94 F94:H94</xm:sqref>
        </x14:conditionalFormatting>
        <x14:conditionalFormatting xmlns:xm="http://schemas.microsoft.com/office/excel/2006/main">
          <x14:cfRule type="containsText" priority="31" operator="containsText" text="注意" id="{325BFA8D-35A2-4989-ACD4-A68E0FD70696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32" operator="containsText" text="延期" id="{14E39DBB-8BDF-40D1-BEE1-D529F47C795D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33" operator="containsText" text="预警" id="{93A7D6C7-4D71-4AA6-A335-D8C6404B0653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T6:V6</xm:sqref>
        </x14:conditionalFormatting>
        <x14:conditionalFormatting xmlns:xm="http://schemas.microsoft.com/office/excel/2006/main">
          <x14:cfRule type="containsText" priority="34" operator="containsText" text="注意" id="{557ADCF8-79BB-4702-9E48-AD221DB8DDD2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35" operator="containsText" text="延期" id="{D4FC8293-41FD-47AE-8DEB-5557B061F439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36" operator="containsText" text="预警" id="{84FB710E-7E32-464C-98D8-2226F2F17B23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M110 E110:J110</xm:sqref>
        </x14:conditionalFormatting>
        <x14:conditionalFormatting xmlns:xm="http://schemas.microsoft.com/office/excel/2006/main">
          <x14:cfRule type="containsText" priority="52" operator="containsText" text="注意" id="{CA749FA9-BA1E-4851-BBA4-78D4F3E2B725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53" operator="containsText" text="延期" id="{044750BC-8E8B-4E3E-80EF-4869B0BEA3FB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54" operator="containsText" text="预警" id="{EB21501E-0C23-48F4-AF91-FB09ABE30D44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N94:Q94</xm:sqref>
        </x14:conditionalFormatting>
        <x14:conditionalFormatting xmlns:xm="http://schemas.microsoft.com/office/excel/2006/main">
          <x14:cfRule type="containsText" priority="55" operator="containsText" text="注意" id="{B6466FF1-A1DD-4572-978B-0431948F504D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56" operator="containsText" text="延期" id="{1872A4CF-06EA-4D78-AD1C-316C79FCC1FA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57" operator="containsText" text="预警" id="{AE3D5CB5-B7BD-4AAC-B2B4-C6AD671558CC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G4:H4 J4 L4:Q4</xm:sqref>
        </x14:conditionalFormatting>
        <x14:conditionalFormatting xmlns:xm="http://schemas.microsoft.com/office/excel/2006/main">
          <x14:cfRule type="containsText" priority="58" operator="containsText" text="注意" id="{1528E153-1C48-4A98-9E15-144FC867D580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59" operator="containsText" text="延期" id="{0DAD4873-34D7-410F-AF1C-41F6D8BF5663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60" operator="containsText" text="预警" id="{72D4D1AD-D682-44DB-9419-CD0DABCD192D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N96:Q96</xm:sqref>
        </x14:conditionalFormatting>
        <x14:conditionalFormatting xmlns:xm="http://schemas.microsoft.com/office/excel/2006/main">
          <x14:cfRule type="containsText" priority="61" operator="containsText" text="注意" id="{13BEAADA-525C-4ED6-97DC-9C298C0DBF5C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62" operator="containsText" text="延期" id="{992B6C23-554F-4568-A947-907513E8DC8F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63" operator="containsText" text="预警" id="{978703F3-8D49-4EA2-B4BB-82144590E007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M65:Q65 E65:J65</xm:sqref>
        </x14:conditionalFormatting>
        <x14:conditionalFormatting xmlns:xm="http://schemas.microsoft.com/office/excel/2006/main">
          <x14:cfRule type="containsText" priority="64" operator="containsText" text="注意" id="{CD73D4F8-9CD7-429B-B85F-3E13B9FE6B8E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65" operator="containsText" text="延期" id="{0665655D-B950-42D3-A5D7-2C90C74F62E4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66" operator="containsText" text="预警" id="{DCF9C67C-36B7-4BFF-8258-5C0EAD780BF5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E77:J77 M77:Q77</xm:sqref>
        </x14:conditionalFormatting>
        <x14:conditionalFormatting xmlns:xm="http://schemas.microsoft.com/office/excel/2006/main">
          <x14:cfRule type="containsText" priority="67" operator="containsText" text="注意" id="{720EE833-D221-405A-9058-88AB2E175612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68" operator="containsText" text="延期" id="{CA0B56E9-009F-4233-9A62-523FD3B75784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69" operator="containsText" text="预警" id="{FB3B9A1D-FFF2-4D76-B315-860170AE8104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O10:P10 Q8</xm:sqref>
        </x14:conditionalFormatting>
        <x14:conditionalFormatting xmlns:xm="http://schemas.microsoft.com/office/excel/2006/main">
          <x14:cfRule type="containsText" priority="16" operator="containsText" text="注意" id="{EDF6DFA4-2A21-435D-BCDA-F0640B1F790E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7" operator="containsText" text="延期" id="{F425C235-B792-4EB9-992D-7B56751A7507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8" operator="containsText" text="预警" id="{E988767C-B8E1-4837-BA95-FFD30D0DC87B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M90 E90:J90</xm:sqref>
        </x14:conditionalFormatting>
        <x14:conditionalFormatting xmlns:xm="http://schemas.microsoft.com/office/excel/2006/main">
          <x14:cfRule type="containsText" priority="82" operator="containsText" text="注意" id="{E1BF62E7-B4DA-4E34-9139-BA37E0BDBD5E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83" operator="containsText" text="延期" id="{79F0E865-CA2B-47D9-9326-4EA635F38844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84" operator="containsText" text="预警" id="{7B9E7F96-2A5F-4BFC-8251-96020D265071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M102 M100 E102:J102 E100:J100</xm:sqref>
        </x14:conditionalFormatting>
        <x14:conditionalFormatting xmlns:xm="http://schemas.microsoft.com/office/excel/2006/main">
          <x14:cfRule type="containsText" priority="94" operator="containsText" text="注意" id="{99D4AC08-76A5-4E4F-B2AD-299B171A5592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95" operator="containsText" text="延期" id="{A9CC7A12-ADBD-45A7-B2E6-FABDC5C9A335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96" operator="containsText" text="预警" id="{013EC204-A6D7-41A9-9701-472456F41FAA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P104:Q104 N106:Q106 N104</xm:sqref>
        </x14:conditionalFormatting>
        <x14:conditionalFormatting xmlns:xm="http://schemas.microsoft.com/office/excel/2006/main">
          <x14:cfRule type="containsText" priority="103" operator="containsText" text="注意" id="{ECFB14E4-BEA1-4103-89C7-6D692ECFFC83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04" operator="containsText" text="延期" id="{000B3FA6-6AF1-4B9A-907A-F6DC4ABBFADB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05" operator="containsText" text="预警" id="{68EBE75F-61E2-4858-BD2D-5867AF3D8283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O36:Q36</xm:sqref>
        </x14:conditionalFormatting>
        <x14:conditionalFormatting xmlns:xm="http://schemas.microsoft.com/office/excel/2006/main">
          <x14:cfRule type="containsText" priority="109" operator="containsText" text="注意" id="{A44AB242-B66B-4F84-9614-C003D7F5D50F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10" operator="containsText" text="延期" id="{8C885261-9E89-4FF3-A980-3713BBA713CB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11" operator="containsText" text="预警" id="{BC8CF4C2-6DC2-433B-A56E-E1589030C8AA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N38:Q38</xm:sqref>
        </x14:conditionalFormatting>
        <x14:conditionalFormatting xmlns:xm="http://schemas.microsoft.com/office/excel/2006/main">
          <x14:cfRule type="containsText" priority="118" operator="containsText" text="注意" id="{7A7AE307-E363-46C7-8434-55D60CAB5046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19" operator="containsText" text="延期" id="{9D9BADB7-70EB-4B85-A85F-786CD25C361B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20" operator="containsText" text="预警" id="{775D5F75-45C6-4AF7-BDF9-45FB5E613D7C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A14</xm:sqref>
        </x14:conditionalFormatting>
        <x14:conditionalFormatting xmlns:xm="http://schemas.microsoft.com/office/excel/2006/main">
          <x14:cfRule type="containsText" priority="121" operator="containsText" text="注意" id="{746B867E-5F35-4C6C-986D-E17DD4214DB9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22" operator="containsText" text="延期" id="{9087E7DF-F4D6-457D-BE73-A25A2E66463E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23" operator="containsText" text="预警" id="{3F82CFD3-F414-41D7-8524-5F76FEBC2DAE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E96:I96</xm:sqref>
        </x14:conditionalFormatting>
        <x14:conditionalFormatting xmlns:xm="http://schemas.microsoft.com/office/excel/2006/main">
          <x14:cfRule type="containsText" priority="124" operator="containsText" text="注意" id="{B1BD4177-7C58-4E03-B391-6F340D07C45D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25" operator="containsText" text="延期" id="{D70E030F-A1F4-47DD-9520-43A6CEEDA22C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26" operator="containsText" text="预警" id="{E31DF03E-0AA7-4639-81E1-D110E648013B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N90</xm:sqref>
        </x14:conditionalFormatting>
        <x14:conditionalFormatting xmlns:xm="http://schemas.microsoft.com/office/excel/2006/main">
          <x14:cfRule type="containsText" priority="127" operator="containsText" text="注意" id="{FA36131A-18CC-453B-97D6-D91D4067619D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28" operator="containsText" text="延期" id="{D1CBAD3D-7477-41F1-A958-D4839403F7B5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29" operator="containsText" text="预警" id="{1A9A1A9E-38FF-4E33-9DBB-D2F0206C627C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N102:Q102 N100:Q100</xm:sqref>
        </x14:conditionalFormatting>
        <x14:conditionalFormatting xmlns:xm="http://schemas.microsoft.com/office/excel/2006/main">
          <x14:cfRule type="containsText" priority="130" operator="containsText" text="注意" id="{CBCC3F8D-A44D-4AC0-8F16-CFAEB574CD41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31" operator="containsText" text="延期" id="{C7B1165D-03ED-48E3-9C5E-82A153A9369E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32" operator="containsText" text="预警" id="{5C15BFE5-19B2-460A-91B4-5D427B157626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E86:M86 K88:L88 K90:L90</xm:sqref>
        </x14:conditionalFormatting>
        <x14:conditionalFormatting xmlns:xm="http://schemas.microsoft.com/office/excel/2006/main">
          <x14:cfRule type="containsText" priority="133" operator="containsText" text="注意" id="{C7A82F8B-1259-4EA6-9FB4-BF3879FAB90D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34" operator="containsText" text="延期" id="{E2DC6A0C-7963-46B9-8BB5-04684001AA1B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35" operator="containsText" text="预警" id="{141014DB-CBAB-4146-BDB6-11018D292D8A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E106:J106 E104:M104 M106</xm:sqref>
        </x14:conditionalFormatting>
        <x14:conditionalFormatting xmlns:xm="http://schemas.microsoft.com/office/excel/2006/main">
          <x14:cfRule type="containsText" priority="4" operator="containsText" text="注意" id="{1BA720B9-C21C-46EB-AB6E-5D8B913CC7DD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5" operator="containsText" text="延期" id="{A750773B-6A47-4BC2-92F4-462A112E300D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6" operator="containsText" text="预警" id="{FF0D31BB-F58B-4881-B450-49BC5AB516FD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P110</xm:sqref>
        </x14:conditionalFormatting>
        <x14:conditionalFormatting xmlns:xm="http://schemas.microsoft.com/office/excel/2006/main">
          <x14:cfRule type="containsText" priority="160" operator="containsText" text="注意" id="{21BFC7CB-0030-40D3-8B97-D47FB23CB893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61" operator="containsText" text="延期" id="{9AADA913-F0AE-490C-A1B7-763B934C312C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62" operator="containsText" text="预警" id="{22EC1B34-1108-420D-8FC8-E36E4619A6BA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A10</xm:sqref>
        </x14:conditionalFormatting>
        <x14:conditionalFormatting xmlns:xm="http://schemas.microsoft.com/office/excel/2006/main">
          <x14:cfRule type="containsText" priority="163" operator="containsText" text="注意" id="{CCE929CE-4E38-47D0-B6E2-D40FA5C3D72A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64" operator="containsText" text="延期" id="{B2DD2A0E-4647-49EE-A03C-4C55F306613F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65" operator="containsText" text="预警" id="{921BE985-3B5D-49D0-BBF7-8D01FEDB5D18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E6:I6 K6:M6</xm:sqref>
        </x14:conditionalFormatting>
        <x14:conditionalFormatting xmlns:xm="http://schemas.microsoft.com/office/excel/2006/main">
          <x14:cfRule type="containsText" priority="166" operator="containsText" text="注意" id="{7AB9313C-A026-412D-8A95-53BEA44B3CC0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67" operator="containsText" text="延期" id="{EB9B604B-D0B2-468D-8A03-B8373DBDB8B2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68" operator="containsText" text="预警" id="{E7015C85-8A22-4136-B540-7BA6EBEE8DCD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N6:Q6</xm:sqref>
        </x14:conditionalFormatting>
        <x14:conditionalFormatting xmlns:xm="http://schemas.microsoft.com/office/excel/2006/main">
          <x14:cfRule type="containsText" priority="169" operator="containsText" text="注意" id="{FA24D0AE-E4B6-48F5-9144-0A993726546A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70" operator="containsText" text="延期" id="{6849F008-7DBA-445F-9CE1-851F7D223629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71" operator="containsText" text="预警" id="{88DC095C-5CF3-40A3-93EC-3567220D159C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W6:XFD6</xm:sqref>
        </x14:conditionalFormatting>
        <x14:conditionalFormatting xmlns:xm="http://schemas.microsoft.com/office/excel/2006/main">
          <x14:cfRule type="containsText" priority="172" operator="containsText" text="注意" id="{8A7D0E2E-0E37-47F9-968E-EDD532245CC7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73" operator="containsText" text="延期" id="{1F9E1534-DF7D-4816-A2C3-2841337276F7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74" operator="containsText" text="预警" id="{594B1D8F-11ED-4279-9A9E-C3753DD1B741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A6:B6</xm:sqref>
        </x14:conditionalFormatting>
        <x14:conditionalFormatting xmlns:xm="http://schemas.microsoft.com/office/excel/2006/main">
          <x14:cfRule type="containsText" priority="175" operator="containsText" text="注意" id="{977702DE-B20B-488C-B885-E1DD0E6F7755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76" operator="containsText" text="延期" id="{02B60EBF-2534-48C2-A0CC-6566794E46B3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77" operator="containsText" text="预警" id="{F401625D-A3B0-4890-868B-649F2DBD6DC9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E49:M49</xm:sqref>
        </x14:conditionalFormatting>
        <x14:conditionalFormatting xmlns:xm="http://schemas.microsoft.com/office/excel/2006/main">
          <x14:cfRule type="containsText" priority="178" operator="containsText" text="注意" id="{763D997E-E98E-4445-9F5F-73FE958BC1BE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79" operator="containsText" text="延期" id="{115DD567-F134-4BA2-99B6-F7BAE67A5863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80" operator="containsText" text="预警" id="{9B07F70C-EB66-499C-928B-ABBB76C81D36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N49:P49</xm:sqref>
        </x14:conditionalFormatting>
        <x14:conditionalFormatting xmlns:xm="http://schemas.microsoft.com/office/excel/2006/main">
          <x14:cfRule type="containsText" priority="181" operator="containsText" text="注意" id="{5DE20B90-A010-42C5-ACEC-987826D872BB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82" operator="containsText" text="延期" id="{72E0547D-DB73-4413-A4E7-7460EDD1020B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83" operator="containsText" text="预警" id="{6A239DBF-FE2D-404C-9173-617D0829CB07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A22</xm:sqref>
        </x14:conditionalFormatting>
        <x14:conditionalFormatting xmlns:xm="http://schemas.microsoft.com/office/excel/2006/main">
          <x14:cfRule type="containsText" priority="184" operator="containsText" text="注意" id="{61515ECE-EB5A-4143-AFD4-B9766DA77E4C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85" operator="containsText" text="延期" id="{FB5F805B-0B91-404A-BC67-659ADB913A8F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86" operator="containsText" text="预警" id="{6E842DA4-2EB4-4BF6-ADDE-175A64BB9787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P67:Q67 N67</xm:sqref>
        </x14:conditionalFormatting>
        <x14:conditionalFormatting xmlns:xm="http://schemas.microsoft.com/office/excel/2006/main">
          <x14:cfRule type="containsText" priority="187" operator="containsText" text="注意" id="{4AA02695-74A0-4600-A263-D8088C0B5FE7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88" operator="containsText" text="延期" id="{301E8859-5A92-418B-A03C-2C7A90739B31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89" operator="containsText" text="预警" id="{C081CD73-7FD2-49E5-81E6-2025FDF493BA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E67:M67</xm:sqref>
        </x14:conditionalFormatting>
        <x14:conditionalFormatting xmlns:xm="http://schemas.microsoft.com/office/excel/2006/main">
          <x14:cfRule type="containsText" priority="190" operator="containsText" text="注意" id="{F0FCC6B5-DAD1-4292-A49B-7F276C99997F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91" operator="containsText" text="延期" id="{10514F24-B870-41D3-A9E8-884AED79C95F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92" operator="containsText" text="预警" id="{98E024E1-146C-446B-A7B3-72A7DC03F761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E8:L8 E10:M10</xm:sqref>
        </x14:conditionalFormatting>
        <x14:conditionalFormatting xmlns:xm="http://schemas.microsoft.com/office/excel/2006/main">
          <x14:cfRule type="containsText" priority="193" operator="containsText" text="注意" id="{628020AB-3001-4506-9B84-3957DE80F9DA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94" operator="containsText" text="延期" id="{8282B0AF-2378-4AF6-93AD-00AEA4C386B6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95" operator="containsText" text="预警" id="{BD811C11-41AA-44EF-8CEC-BA0C85A453A2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M79 E79:J79</xm:sqref>
        </x14:conditionalFormatting>
        <x14:conditionalFormatting xmlns:xm="http://schemas.microsoft.com/office/excel/2006/main">
          <x14:cfRule type="containsText" priority="196" operator="containsText" text="注意" id="{F7C201AD-0EFE-4CA4-91AA-D13114446D22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197" operator="containsText" text="延期" id="{3E36B76B-B356-4ECD-BC8F-5282076C037A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98" operator="containsText" text="预警" id="{AF293324-D355-484B-A9E8-D48E1CC3EF40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N79:Q79</xm:sqref>
        </x14:conditionalFormatting>
        <x14:conditionalFormatting xmlns:xm="http://schemas.microsoft.com/office/excel/2006/main">
          <x14:cfRule type="containsText" priority="199" operator="containsText" text="注意" id="{0CF5ED9A-6B3A-4CFA-9BD8-19BC5040A705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00" operator="containsText" text="延期" id="{F6F827E5-3EA5-48B4-A165-32A799AD6838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01" operator="containsText" text="预警" id="{F43386A7-D026-4811-8F1E-69B6147E0D2D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E24:J24 M24</xm:sqref>
        </x14:conditionalFormatting>
        <x14:conditionalFormatting xmlns:xm="http://schemas.microsoft.com/office/excel/2006/main">
          <x14:cfRule type="containsText" priority="202" operator="containsText" text="注意" id="{F497B5EA-BB57-4BE1-A382-7861A2EE3FC7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03" operator="containsText" text="延期" id="{EEB18E7E-1BD1-46E9-86D2-D22CB21EA667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04" operator="containsText" text="预警" id="{02CF47C8-5F1B-49A1-A581-C1FAF85586D7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N92:Q92</xm:sqref>
        </x14:conditionalFormatting>
        <x14:conditionalFormatting xmlns:xm="http://schemas.microsoft.com/office/excel/2006/main">
          <x14:cfRule type="containsText" priority="205" operator="containsText" text="注意" id="{476C33DE-452B-4CFB-8554-C863DFEDDE00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06" operator="containsText" text="延期" id="{12F1A18B-6EE4-4E35-9AB3-B7A07683EB59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07" operator="containsText" text="预警" id="{C684B0F7-0A37-45F3-8ABE-BAF157D2C2EE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E92:J92 M92</xm:sqref>
        </x14:conditionalFormatting>
        <x14:conditionalFormatting xmlns:xm="http://schemas.microsoft.com/office/excel/2006/main">
          <x14:cfRule type="containsText" priority="208" operator="containsText" text="注意" id="{B2598332-4659-45D5-A82B-E7CB2F47AB57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09" operator="containsText" text="延期" id="{BDFE9197-CDCA-484D-9381-4868E776D99B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10" operator="containsText" text="预警" id="{1D8DD005-F56D-45BA-A2DA-74BAD3749DAC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P24:Q24 N24</xm:sqref>
        </x14:conditionalFormatting>
        <x14:conditionalFormatting xmlns:xm="http://schemas.microsoft.com/office/excel/2006/main">
          <x14:cfRule type="containsText" priority="211" operator="containsText" text="注意" id="{60B76E4D-8775-48BF-BA83-685D4FED4F66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12" operator="containsText" text="延期" id="{A7DB57E2-5C5B-462B-BCAF-A3CAD296772B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13" operator="containsText" text="预警" id="{38515D5D-8AED-4B1A-B743-9F31597A8F0A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E28:J28 M28</xm:sqref>
        </x14:conditionalFormatting>
        <x14:conditionalFormatting xmlns:xm="http://schemas.microsoft.com/office/excel/2006/main">
          <x14:cfRule type="containsText" priority="214" operator="containsText" text="注意" id="{35618389-527C-4C3C-90D2-5FF945E692F7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15" operator="containsText" text="延期" id="{8E0C94FE-EA64-4816-96E9-419F025CAF45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16" operator="containsText" text="预警" id="{E346F6FB-EAFF-492D-A31D-5AB114153BCB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N27 P27:Q27</xm:sqref>
        </x14:conditionalFormatting>
        <x14:conditionalFormatting xmlns:xm="http://schemas.microsoft.com/office/excel/2006/main">
          <x14:cfRule type="containsText" priority="217" operator="containsText" text="注意" id="{EAE31942-E7F4-4BD3-B0F1-0564CE4E8EAC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18" operator="containsText" text="延期" id="{7AE113D9-5D5C-41CB-8B17-7A4D8C571713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19" operator="containsText" text="预警" id="{72B73354-0D2E-4F53-9598-85A1E98DE2C7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E30:J30 M30</xm:sqref>
        </x14:conditionalFormatting>
        <x14:conditionalFormatting xmlns:xm="http://schemas.microsoft.com/office/excel/2006/main">
          <x14:cfRule type="containsText" priority="220" operator="containsText" text="注意" id="{30FF286D-FAB1-4369-8622-93D9F21D6B95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21" operator="containsText" text="延期" id="{75120748-A8FD-4BF3-89B7-7B89EA7EB5CB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22" operator="containsText" text="预警" id="{3859E3F4-3446-408C-8E01-E25638D7479E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E40:J40 M40:O40</xm:sqref>
        </x14:conditionalFormatting>
        <x14:conditionalFormatting xmlns:xm="http://schemas.microsoft.com/office/excel/2006/main">
          <x14:cfRule type="containsText" priority="223" operator="containsText" text="注意" id="{7A4B699C-6AD8-44AB-BE72-C73C29326A28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24" operator="containsText" text="延期" id="{FD475966-B1E5-4E4E-917B-7ABB7B494A94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25" operator="containsText" text="预警" id="{61FFC392-DF93-4306-A7D6-0321EB1DE2E8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N85:Q85</xm:sqref>
        </x14:conditionalFormatting>
        <x14:conditionalFormatting xmlns:xm="http://schemas.microsoft.com/office/excel/2006/main">
          <x14:cfRule type="containsText" priority="226" operator="containsText" text="注意" id="{4059DBC2-9388-4FB3-A134-14ECF5D96154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27" operator="containsText" text="延期" id="{C83E95EC-40DB-40A4-99E3-D20BFAA5E51D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28" operator="containsText" text="预警" id="{FF2170AB-DA5D-4420-A6E4-F021948FD8AF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N86:Q86</xm:sqref>
        </x14:conditionalFormatting>
        <x14:conditionalFormatting xmlns:xm="http://schemas.microsoft.com/office/excel/2006/main">
          <x14:cfRule type="containsText" priority="229" operator="containsText" text="注意" id="{6E3B7E0C-0383-4F25-B682-EB24D4DF6421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30" operator="containsText" text="延期" id="{40897347-6246-4530-B16F-28B0448BD47A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31" operator="containsText" text="预警" id="{63E60EA0-34FD-4963-A0B0-AAD0233FC346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Q49</xm:sqref>
        </x14:conditionalFormatting>
        <x14:conditionalFormatting xmlns:xm="http://schemas.microsoft.com/office/excel/2006/main">
          <x14:cfRule type="containsText" priority="232" operator="containsText" text="注意" id="{A07FAA90-3930-484F-8BFD-0FDEBEA2DECE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33" operator="containsText" text="延期" id="{3B00B333-CA93-41C1-BB21-D5C6D0E53B54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34" operator="containsText" text="预警" id="{077644E7-7FBB-44DD-97A3-EB1F6019BE08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M85</xm:sqref>
        </x14:conditionalFormatting>
        <x14:conditionalFormatting xmlns:xm="http://schemas.microsoft.com/office/excel/2006/main">
          <x14:cfRule type="containsText" priority="235" operator="containsText" text="注意" id="{83C2B413-5180-4914-BEE0-33DC3D635DB6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36" operator="containsText" text="延期" id="{40A5D6E7-69C8-4949-BE19-CE221702B21A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37" operator="containsText" text="预警" id="{93E27D9C-96C8-4C18-B9B8-7230D9032D27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E38:M38 E42:Q42</xm:sqref>
        </x14:conditionalFormatting>
        <x14:conditionalFormatting xmlns:xm="http://schemas.microsoft.com/office/excel/2006/main">
          <x14:cfRule type="containsText" priority="238" operator="containsText" text="注意" id="{4117549B-D2C3-493F-B681-117B5FD08403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39" operator="containsText" text="延期" id="{05DD9B25-3276-40E9-97BD-CFA238599588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40" operator="containsText" text="预警" id="{E4A3FD6B-7E2A-4CBB-8CD2-3B90B1677F97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M88 E88:J88</xm:sqref>
        </x14:conditionalFormatting>
        <x14:conditionalFormatting xmlns:xm="http://schemas.microsoft.com/office/excel/2006/main">
          <x14:cfRule type="containsText" priority="241" operator="containsText" text="注意" id="{E6CA7514-28A6-48C7-BA4F-2EFAD46D256B}">
            <xm:f>NOT(ISERROR(SEARCH("注意",'\Users\Administrator\Desktop\研发一部资料\研发一部项目状态表\项目跟进\[外销研发部项目跟进表_李稳_171109.xlsx]项目周报'!#REF!)))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00B0F0"/>
                </patternFill>
              </fill>
            </x14:dxf>
          </x14:cfRule>
          <x14:cfRule type="containsText" priority="242" operator="containsText" text="延期" id="{32CB2854-03DD-4D32-A758-AECBF72D17BF}">
            <xm:f>NOT(ISERROR(SEARCH("延期",'\Users\Administrator\Desktop\研发一部资料\研发一部项目状态表\项目跟进\[外销研发部项目跟进表_李稳_171109.xlsx]项目周报'!#REF!)))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43" operator="containsText" text="预警" id="{82C4712E-903B-43F7-8690-0BB46622EF67}">
            <xm:f>NOT(ISERROR(SEARCH("预警",'\Users\Administrator\Desktop\研发一部资料\研发一部项目状态表\项目跟进\[外销研发部项目跟进表_李稳_171109.xlsx]项目周报'!#REF!)))</xm:f>
            <x14:dxf>
              <fill>
                <patternFill>
                  <bgColor rgb="FFFFFF00"/>
                </patternFill>
              </fill>
            </x14:dxf>
          </x14:cfRule>
          <xm:sqref>N88:Q88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30"/>
  <sheetViews>
    <sheetView workbookViewId="0">
      <pane ySplit="1" topLeftCell="A2" activePane="bottomLeft" state="frozen"/>
      <selection pane="bottomLeft" activeCell="F13" sqref="F13"/>
    </sheetView>
  </sheetViews>
  <sheetFormatPr defaultRowHeight="13.5" x14ac:dyDescent="0.15"/>
  <cols>
    <col min="1" max="1" width="18" customWidth="1"/>
    <col min="2" max="2" width="10.75" customWidth="1"/>
    <col min="4" max="4" width="10.5" customWidth="1"/>
  </cols>
  <sheetData>
    <row r="2" spans="1:2" ht="24.75" customHeight="1" x14ac:dyDescent="0.15">
      <c r="A2" s="121" t="s">
        <v>18</v>
      </c>
    </row>
    <row r="3" spans="1:2" ht="24.75" customHeight="1" x14ac:dyDescent="0.15">
      <c r="A3" s="121"/>
    </row>
    <row r="6" spans="1:2" x14ac:dyDescent="0.15">
      <c r="A6" s="121" t="s">
        <v>19</v>
      </c>
    </row>
    <row r="7" spans="1:2" x14ac:dyDescent="0.15">
      <c r="A7" s="121"/>
    </row>
    <row r="14" spans="1:2" x14ac:dyDescent="0.15">
      <c r="A14" t="s">
        <v>20</v>
      </c>
    </row>
    <row r="15" spans="1:2" x14ac:dyDescent="0.15">
      <c r="A15" t="s">
        <v>21</v>
      </c>
    </row>
    <row r="16" spans="1:2" x14ac:dyDescent="0.15">
      <c r="A16" t="s">
        <v>22</v>
      </c>
      <c r="B16" t="s">
        <v>23</v>
      </c>
    </row>
    <row r="17" spans="1:2" x14ac:dyDescent="0.15">
      <c r="A17" t="s">
        <v>24</v>
      </c>
      <c r="B17" t="s">
        <v>170</v>
      </c>
    </row>
    <row r="18" spans="1:2" x14ac:dyDescent="0.15">
      <c r="A18" t="s">
        <v>26</v>
      </c>
      <c r="B18" t="s">
        <v>25</v>
      </c>
    </row>
    <row r="19" spans="1:2" x14ac:dyDescent="0.15">
      <c r="A19" t="s">
        <v>27</v>
      </c>
      <c r="B19" t="s">
        <v>28</v>
      </c>
    </row>
    <row r="20" spans="1:2" x14ac:dyDescent="0.15">
      <c r="A20" t="s">
        <v>29</v>
      </c>
      <c r="B20" t="s">
        <v>30</v>
      </c>
    </row>
    <row r="21" spans="1:2" x14ac:dyDescent="0.15">
      <c r="A21" t="s">
        <v>32</v>
      </c>
      <c r="B21" t="s">
        <v>31</v>
      </c>
    </row>
    <row r="23" spans="1:2" x14ac:dyDescent="0.15">
      <c r="A23" t="s">
        <v>33</v>
      </c>
    </row>
    <row r="24" spans="1:2" x14ac:dyDescent="0.15">
      <c r="A24" t="s">
        <v>34</v>
      </c>
    </row>
    <row r="25" spans="1:2" x14ac:dyDescent="0.15">
      <c r="A25" t="s">
        <v>35</v>
      </c>
    </row>
    <row r="26" spans="1:2" x14ac:dyDescent="0.15">
      <c r="A26" t="s">
        <v>36</v>
      </c>
    </row>
    <row r="30" spans="1:2" x14ac:dyDescent="0.15">
      <c r="A30" t="s">
        <v>37</v>
      </c>
    </row>
  </sheetData>
  <mergeCells count="2">
    <mergeCell ref="A2:A3"/>
    <mergeCell ref="A6:A7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1"/>
  <sheetViews>
    <sheetView showGridLines="0" zoomScale="78" zoomScaleNormal="78" workbookViewId="0">
      <selection activeCell="N13" sqref="N13"/>
    </sheetView>
  </sheetViews>
  <sheetFormatPr defaultRowHeight="13.5" x14ac:dyDescent="0.15"/>
  <cols>
    <col min="1" max="1" width="12.375" style="8" customWidth="1"/>
    <col min="2" max="2" width="22.25" style="8" customWidth="1"/>
    <col min="3" max="3" width="15" style="8" customWidth="1"/>
    <col min="4" max="4" width="12" style="8" customWidth="1"/>
    <col min="5" max="5" width="15" style="8" customWidth="1"/>
    <col min="6" max="6" width="12" style="8" customWidth="1"/>
    <col min="7" max="7" width="12.375" style="8" customWidth="1"/>
    <col min="8" max="8" width="12" style="8" customWidth="1"/>
    <col min="9" max="9" width="12.375" style="8" customWidth="1"/>
    <col min="10" max="10" width="12" style="8" customWidth="1"/>
    <col min="11" max="11" width="12.375" style="8" customWidth="1"/>
    <col min="12" max="12" width="12" style="8" customWidth="1"/>
    <col min="13" max="13" width="12.375" style="8" customWidth="1"/>
    <col min="14" max="16384" width="9" style="8"/>
  </cols>
  <sheetData>
    <row r="1" spans="1:13" ht="39.75" customHeight="1" x14ac:dyDescent="0.15">
      <c r="A1" s="7" t="s">
        <v>38</v>
      </c>
      <c r="B1" s="9" t="s">
        <v>185</v>
      </c>
      <c r="I1" s="26"/>
    </row>
    <row r="2" spans="1:13" ht="4.5" customHeight="1" x14ac:dyDescent="0.15"/>
    <row r="3" spans="1:13" ht="20.25" customHeight="1" x14ac:dyDescent="0.15">
      <c r="A3" s="130"/>
      <c r="B3" s="128" t="s">
        <v>42</v>
      </c>
      <c r="C3" s="129"/>
      <c r="D3" s="133" t="s">
        <v>43</v>
      </c>
      <c r="E3" s="134"/>
      <c r="F3" s="131" t="s">
        <v>44</v>
      </c>
      <c r="G3" s="132"/>
      <c r="H3" s="122" t="s">
        <v>45</v>
      </c>
      <c r="I3" s="123"/>
      <c r="J3" s="124" t="s">
        <v>46</v>
      </c>
      <c r="K3" s="125"/>
      <c r="L3" s="126" t="s">
        <v>47</v>
      </c>
      <c r="M3" s="127"/>
    </row>
    <row r="4" spans="1:13" ht="20.25" customHeight="1" x14ac:dyDescent="0.15">
      <c r="A4" s="130"/>
      <c r="B4" s="12" t="s">
        <v>39</v>
      </c>
      <c r="C4" s="12" t="s">
        <v>40</v>
      </c>
      <c r="D4" s="13" t="s">
        <v>39</v>
      </c>
      <c r="E4" s="13" t="s">
        <v>40</v>
      </c>
      <c r="F4" s="14" t="s">
        <v>39</v>
      </c>
      <c r="G4" s="14" t="s">
        <v>40</v>
      </c>
      <c r="H4" s="15" t="s">
        <v>39</v>
      </c>
      <c r="I4" s="15" t="s">
        <v>40</v>
      </c>
      <c r="J4" s="16" t="s">
        <v>39</v>
      </c>
      <c r="K4" s="16" t="s">
        <v>40</v>
      </c>
      <c r="L4" s="17" t="s">
        <v>39</v>
      </c>
      <c r="M4" s="17" t="s">
        <v>40</v>
      </c>
    </row>
    <row r="5" spans="1:13" s="19" customFormat="1" ht="20.25" customHeight="1" x14ac:dyDescent="0.15">
      <c r="A5" s="18" t="s">
        <v>17</v>
      </c>
      <c r="B5" s="10">
        <f>INDEX(基础数据!$C$2:$T$1488,MATCH($B$1,基础数据!B:B,0)-1,MATCH("立项发布",基础数据!1:1,0)-2)</f>
        <v>43047</v>
      </c>
      <c r="C5" s="10">
        <f ca="1">IF(INDEX(基础数据!$C$2:$T$1488,MATCH($B$1,基础数据!B:B,0)-1,MATCH("layout完成",基础数据!1:1,0)-2)="",TODAY(),INDEX(基础数据!$C$2:$T$1488,MATCH($B$1,基础数据!B:B,0)-1,MATCH("layout完成",基础数据!1:1,0)-2))</f>
        <v>43073</v>
      </c>
      <c r="D5" s="10">
        <f>INDEX(基础数据!$C$2:$T$1488,MATCH($B$1,基础数据!B:B,0)-1,MATCH("layout完成",基础数据!1:1,0)-2)</f>
        <v>43073</v>
      </c>
      <c r="E5" s="10">
        <f ca="1">IF(INDEX(基础数据!$C$2:$T$1488,MATCH($B$1,基础数据!B:B,0)-1,MATCH("机箱样品",基础数据!1:1,0)-2)="",TODAY(),INDEX(基础数据!$C$2:$T$1488,MATCH($B$1,基础数据!B:B,0)-1,MATCH("机箱样品",基础数据!1:1,0)-2))</f>
        <v>43091</v>
      </c>
      <c r="F5" s="11">
        <f>INDEX(基础数据!$C$2:$T$1488,MATCH($B$1,基础数据!B:B,0)-1,MATCH("PCBA样品",基础数据!1:1,0)-2)</f>
        <v>43089</v>
      </c>
      <c r="G5" s="11">
        <f ca="1">IF(INDEX(基础数据!$C$2:$T$1488,MATCH($B$1,基础数据!B:B,0)-1,MATCH("移交DQM",基础数据!1:1,0)-2)="",TODAY(),INDEX(基础数据!$C$2:$T$1488,MATCH($B$1,基础数据!B:B,0)-1,MATCH("移交DQM",基础数据!1:1,0)-2))</f>
        <v>43096</v>
      </c>
      <c r="H5" s="11">
        <f>INDEX(基础数据!$C$2:$T$1488,MATCH($B$1,基础数据!B:B,0)-1,MATCH("移交DQM",基础数据!1:1,0)-2)</f>
        <v>43096</v>
      </c>
      <c r="I5" s="11">
        <f ca="1">IF(INDEX(基础数据!$C$2:$T$1488,MATCH($B$1,基础数据!B:B,0)-1,MATCH("研发样机",基础数据!1:1,0)-2)="",TODAY(),INDEX(基础数据!$C$2:$T$1488,MATCH($B$1,基础数据!B:B,0)-1,MATCH("研发样机",基础数据!1:1,0)-2))</f>
        <v>43110</v>
      </c>
      <c r="J5" s="11">
        <f>INDEX(基础数据!$C$2:$T$1488,MATCH($B$1,基础数据!B:B,0)-1,MATCH("研发样机",基础数据!1:1,0)-2)</f>
        <v>43110</v>
      </c>
      <c r="K5" s="11">
        <f ca="1">IF(INDEX(基础数据!$C$2:$T$1488,MATCH($B$1,基础数据!B:B,0)-1,MATCH("外销验收",基础数据!1:1,0)-2)="",TODAY(),INDEX(基础数据!$C$2:$T$1488,MATCH($B$1,基础数据!B:B,0)-1,MATCH("外销验收",基础数据!1:1,0)-2))</f>
        <v>43126</v>
      </c>
      <c r="L5" s="11">
        <f>INDEX(基础数据!$C$2:$T$1488,MATCH($B$1,基础数据!B:B,0)-1,MATCH("外销验收",基础数据!1:1,0)-2)</f>
        <v>43126</v>
      </c>
      <c r="M5" s="11">
        <f ca="1">IF(INDEX(基础数据!$C$2:$T$1488,MATCH($B$1,基础数据!B:B,0)-1,MATCH("资料移交",基础数据!1:1,0)-2)="",TODAY(),INDEX(基础数据!$C$2:$T$1488,MATCH($B$1,基础数据!B:B,0)-1,MATCH("资料移交",基础数据!1:1,0)-2))</f>
        <v>43129</v>
      </c>
    </row>
    <row r="6" spans="1:13" s="19" customFormat="1" ht="20.25" customHeight="1" x14ac:dyDescent="0.15">
      <c r="A6" s="18" t="s">
        <v>41</v>
      </c>
      <c r="B6" s="10">
        <f ca="1">IF(OR(INDEX(基础数据!$C$2:$T$1488,MATCH($B$1,基础数据!B:B,0)-1,MATCH("立项发布",基础数据!1:1,0)-2)="",INDEX(基础数据!$C$2:$T$1488,MATCH($B$1,基础数据!B:B,0)-1,MATCH("立项发布",基础数据!1:1,0)-2)="延期"),TODAY(),INDEX(基础数据!$C$2:$T$1488,MATCH($B$1,基础数据!B:B,0)-1,MATCH("立项发布",基础数据!1:1,0)-2))</f>
        <v>43047</v>
      </c>
      <c r="C6" s="10">
        <f ca="1">IF(OR(INDEX(基础数据!$C$2:$T$1488,MATCH($B$1,基础数据!B:B,0),MATCH("layout完成",基础数据!1:1,0)-2)="",INDEX(基础数据!$C$2:$T$1488,MATCH($B$1,基础数据!B:B,0),MATCH("layout完成",基础数据!1:1,0)-2)="延期"),TODAY(),INDEX(基础数据!$C$2:$T$1488,MATCH($B$1,基础数据!B:B,0),MATCH("layout完成",基础数据!1:1,0)-2))</f>
        <v>43062</v>
      </c>
      <c r="D6" s="10">
        <f ca="1">IF(OR(INDEX(基础数据!$C$2:$T$1488,MATCH($B$1,基础数据!B:B,0),MATCH("layout完成",基础数据!1:1,0)-2)="",INDEX(基础数据!$C$2:$T$1488,MATCH($B$1,基础数据!B:B,0),MATCH("layout完成",基础数据!1:1,0)-2)="延期"),TODAY(),INDEX(基础数据!$C$2:$T$1488,MATCH($B$1,基础数据!B:B,0),MATCH("layout完成",基础数据!1:1,0)-2))</f>
        <v>43062</v>
      </c>
      <c r="E6" s="11">
        <f ca="1">IF(OR(INDEX(基础数据!$C$2:$T$1488,MATCH($B$1,基础数据!B:B,0),MATCH("机箱样品",基础数据!1:1,0)-2)="",INDEX(基础数据!$C$2:$T$1488,MATCH($B$1,基础数据!B:B,0),MATCH("机箱样品",基础数据!1:1,0)-2)="延期"),TODAY(),IF(INDEX(基础数据!$C$2:$T$1488,MATCH($B$1,基础数据!B:B,0),MATCH("机箱样品",基础数据!1:1,0)-2)&gt;INDEX(基础数据!$C$2:$T$1488,MATCH($B$1,基础数据!B:B,0),MATCH("PCBA样品",基础数据!1:1,0)-2),INDEX(基础数据!$C$2:$T$1488,MATCH($B$1,基础数据!B:B,0),MATCH("机箱样品",基础数据!1:1,0)-2),INDEX(基础数据!$C$2:$T$1488,MATCH($B$1,基础数据!B:B,0),MATCH("PCBA样品",基础数据!1:1,0)-2)))</f>
        <v>43062</v>
      </c>
      <c r="F6" s="11">
        <f ca="1">IF(OR(INDEX(基础数据!$C$2:$T$1488,MATCH($B$1,基础数据!B:B,0),MATCH("PCBA样品",基础数据!1:1,0)-2)="",INDEX(基础数据!$C$2:$T$1488,MATCH($B$1,基础数据!B:B,0),MATCH("PCBA样品",基础数据!1:1,0)-2)="延期"),TODAY(),INDEX(基础数据!$C$2:$T$1488,MATCH($B$1,基础数据!B:B,0),MATCH("PCBA样品",基础数据!1:1,0)-2))</f>
        <v>43062</v>
      </c>
      <c r="G6" s="11">
        <f ca="1">IF(OR(INDEX(基础数据!$C$2:$T$1488,MATCH($B$1,基础数据!B:B,0),MATCH("移交DQM",基础数据!1:1,0)-2)="",INDEX(基础数据!$C$2:$T$1488,MATCH($B$1,基础数据!B:B,0),MATCH("移交DQM",基础数据!1:1,0)-2)="延期"),TODAY(),INDEX(基础数据!$C$2:$T$1488,MATCH($B$1,基础数据!B:B,0),MATCH("移交DQM",基础数据!1:1,0)-2))</f>
        <v>43062</v>
      </c>
      <c r="H6" s="11">
        <f ca="1">IF(OR(INDEX(基础数据!$C$2:$T$1488,MATCH($B$1,基础数据!B:B,0),MATCH("移交DQM",基础数据!1:1,0)-2)="",INDEX(基础数据!$C$2:$T$1488,MATCH($B$1,基础数据!B:B,0),MATCH("移交DQM",基础数据!1:1,0)-2)="延期"),TODAY(),INDEX(基础数据!$C$2:$T$1488,MATCH($B$1,基础数据!B:B,0),MATCH("移交DQM",基础数据!1:1,0)-2))</f>
        <v>43062</v>
      </c>
      <c r="I6" s="11">
        <f ca="1">IF(OR(INDEX(基础数据!$C$2:$T$1488,MATCH($B$1,基础数据!B:B,0),MATCH("研发样机",基础数据!1:1,0)-2)="",INDEX(基础数据!$C$2:$T$1488,MATCH($B$1,基础数据!B:B,0),MATCH("研发样机",基础数据!1:1,0)-2)="延期"),TODAY(),INDEX(基础数据!$C$2:$T$1488,MATCH($B$1,基础数据!B:B,0),MATCH("研发样机",基础数据!1:1,0)-2))</f>
        <v>43062</v>
      </c>
      <c r="J6" s="11">
        <f ca="1">IF(OR(INDEX(基础数据!$C$2:$T$1488,MATCH($B$1,基础数据!B:B,0),MATCH("研发样机",基础数据!1:1,0)-2)="",INDEX(基础数据!$C$2:$T$1488,MATCH($B$1,基础数据!B:B,0),MATCH("研发样机",基础数据!1:1,0)-2)="延期"),TODAY(),INDEX(基础数据!$C$2:$T$1488,MATCH($B$1,基础数据!B:B,0),MATCH("研发样机",基础数据!1:1,0)-2))</f>
        <v>43062</v>
      </c>
      <c r="K6" s="11">
        <f ca="1">IF(OR(INDEX(基础数据!$C$2:$T$1488,MATCH($B$1,基础数据!B:B,0),MATCH("外销验收",基础数据!1:1,0)-2)="",INDEX(基础数据!$C$2:$T$1488,MATCH($B$1,基础数据!B:B,0),MATCH("外销验收",基础数据!1:1,0)-2)="延期"),TODAY(),INDEX(基础数据!$C$2:$T$1488,MATCH($B$1,基础数据!B:B,0),MATCH("外销验收",基础数据!1:1,0)-2))</f>
        <v>43062</v>
      </c>
      <c r="L6" s="11" t="str">
        <f ca="1">IF(OR(INDEX(基础数据!$C$2:$T$1488,MATCH($B$1,基础数据!B:B,0),MATCH("外销验收",基础数据!1:1,0)-2)="",INDEX(基础数据!$C$2:$T$1488,MATCH($B$1,基础数据!B:B,0),MATCH("外销验收",基础数据!1:1,0)-2)="延期"),INDEX(基础数据!$C$2:$T$1488,MATCH($B$1,基础数据!B:B,0),MATCH("外销验收",基础数据!1:1,0)-2),INDEX(基础数据!$C$2:$T$1488,MATCH($B$1,基础数据!B:B,0),MATCH("外销验收",基础数据!1:1,0)-2))</f>
        <v/>
      </c>
      <c r="M6" s="11" t="str">
        <f ca="1">IF(L6="延期",L6,IF(L6="","",IF(OR(INDEX(基础数据!$C$2:$T$1488,MATCH($B$1,基础数据!B:B,0),MATCH("资料移交",基础数据!1:1,0)-2)="",INDEX(基础数据!$C$2:$T$1488,MATCH($B$1,基础数据!B:B,0),MATCH("资料移交",基础数据!1:1,0)-2)="延期"),TODAY(),INDEX(基础数据!$C$2:$T$1488,MATCH($B$1,基础数据!B:B,0),MATCH("资料移交",基础数据!1:1,0)-2))))</f>
        <v/>
      </c>
    </row>
    <row r="7" spans="1:13" ht="20.25" customHeight="1" x14ac:dyDescent="0.15"/>
    <row r="8" spans="1:13" ht="20.25" customHeight="1" x14ac:dyDescent="0.15"/>
    <row r="9" spans="1:13" ht="6.75" customHeight="1" x14ac:dyDescent="0.15"/>
    <row r="10" spans="1:13" s="19" customFormat="1" ht="21" customHeight="1" x14ac:dyDescent="0.15"/>
    <row r="11" spans="1:13" s="19" customFormat="1" ht="21" customHeight="1" x14ac:dyDescent="0.15"/>
    <row r="12" spans="1:13" s="19" customFormat="1" ht="21" customHeight="1" x14ac:dyDescent="0.15"/>
    <row r="13" spans="1:13" s="19" customFormat="1" ht="21" customHeight="1" x14ac:dyDescent="0.15"/>
    <row r="14" spans="1:13" s="19" customFormat="1" ht="21" customHeight="1" x14ac:dyDescent="0.15"/>
    <row r="15" spans="1:13" s="19" customFormat="1" ht="21" customHeight="1" x14ac:dyDescent="0.15"/>
    <row r="16" spans="1:13" s="19" customFormat="1" ht="21" customHeight="1" x14ac:dyDescent="0.15"/>
    <row r="17" spans="1:1" s="19" customFormat="1" ht="21" customHeight="1" x14ac:dyDescent="0.15"/>
    <row r="30" spans="1:1" x14ac:dyDescent="0.15">
      <c r="A30" s="25" t="s">
        <v>50</v>
      </c>
    </row>
    <row r="31" spans="1:1" s="25" customFormat="1" ht="12" x14ac:dyDescent="0.15"/>
  </sheetData>
  <mergeCells count="7">
    <mergeCell ref="H3:I3"/>
    <mergeCell ref="J3:K3"/>
    <mergeCell ref="L3:M3"/>
    <mergeCell ref="B3:C3"/>
    <mergeCell ref="A3:A4"/>
    <mergeCell ref="F3:G3"/>
    <mergeCell ref="D3:E3"/>
  </mergeCells>
  <phoneticPr fontId="6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按钮 2">
              <controlPr defaultSize="0" print="0" autoFill="0" autoPict="0" macro="[0]!更新">
                <anchor moveWithCells="1" sizeWithCells="1">
                  <from>
                    <xdr:col>14</xdr:col>
                    <xdr:colOff>400050</xdr:colOff>
                    <xdr:row>2</xdr:row>
                    <xdr:rowOff>19050</xdr:rowOff>
                  </from>
                  <to>
                    <xdr:col>16</xdr:col>
                    <xdr:colOff>95250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INDIRECT("'项目基础资料-梁'!A2:A"&amp;COUNTA('项目基础资料-梁'!A:A))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3"/>
  <sheetViews>
    <sheetView workbookViewId="0">
      <selection activeCell="B8" sqref="B8:B10"/>
    </sheetView>
  </sheetViews>
  <sheetFormatPr defaultRowHeight="13.5" x14ac:dyDescent="0.15"/>
  <cols>
    <col min="1" max="1" width="12.375" style="86" customWidth="1"/>
    <col min="2" max="2" width="22.25" style="86" customWidth="1"/>
    <col min="3" max="3" width="15" style="86" customWidth="1"/>
    <col min="4" max="4" width="12" style="86" customWidth="1"/>
    <col min="5" max="5" width="15" style="86" customWidth="1"/>
    <col min="6" max="6" width="12" style="86" customWidth="1"/>
    <col min="7" max="7" width="12.375" style="86" customWidth="1"/>
    <col min="8" max="8" width="12" style="86" customWidth="1"/>
    <col min="9" max="9" width="12.375" style="86" customWidth="1"/>
    <col min="10" max="10" width="12" style="86" customWidth="1"/>
    <col min="11" max="11" width="12.375" style="86" customWidth="1"/>
    <col min="12" max="12" width="12" style="86" customWidth="1"/>
    <col min="13" max="13" width="12.375" style="86" customWidth="1"/>
    <col min="14" max="20" width="9" style="86"/>
    <col min="21" max="21" width="38.25" style="86" customWidth="1"/>
    <col min="22" max="16384" width="9" style="86"/>
  </cols>
  <sheetData>
    <row r="1" spans="1:25" s="77" customFormat="1" x14ac:dyDescent="0.15">
      <c r="A1" s="72" t="s">
        <v>0</v>
      </c>
      <c r="B1" s="73" t="s">
        <v>1</v>
      </c>
      <c r="C1" s="73" t="s">
        <v>10</v>
      </c>
      <c r="D1" s="73" t="s">
        <v>16</v>
      </c>
      <c r="E1" s="74" t="s">
        <v>189</v>
      </c>
      <c r="F1" s="73" t="s">
        <v>11</v>
      </c>
      <c r="G1" s="73" t="s">
        <v>2</v>
      </c>
      <c r="H1" s="73" t="s">
        <v>171</v>
      </c>
      <c r="I1" s="73" t="s">
        <v>172</v>
      </c>
      <c r="J1" s="73" t="s">
        <v>173</v>
      </c>
      <c r="K1" s="73" t="s">
        <v>174</v>
      </c>
      <c r="L1" s="73" t="s">
        <v>175</v>
      </c>
      <c r="M1" s="73" t="s">
        <v>3</v>
      </c>
      <c r="N1" s="73" t="s">
        <v>4</v>
      </c>
      <c r="O1" s="73" t="s">
        <v>7</v>
      </c>
      <c r="P1" s="73" t="s">
        <v>15</v>
      </c>
      <c r="Q1" s="73" t="s">
        <v>13</v>
      </c>
      <c r="R1" s="73" t="s">
        <v>8</v>
      </c>
      <c r="S1" s="73" t="s">
        <v>6</v>
      </c>
      <c r="T1" s="73" t="s">
        <v>9</v>
      </c>
      <c r="U1" s="73" t="s">
        <v>5</v>
      </c>
      <c r="V1" s="73" t="s">
        <v>190</v>
      </c>
      <c r="W1" s="73" t="s">
        <v>12</v>
      </c>
      <c r="X1" s="75"/>
      <c r="Y1" s="76"/>
    </row>
    <row r="2" spans="1:25" s="77" customFormat="1" x14ac:dyDescent="0.15">
      <c r="A2" s="139">
        <v>1</v>
      </c>
      <c r="B2" s="141" t="s">
        <v>157</v>
      </c>
      <c r="C2" s="116" t="s">
        <v>121</v>
      </c>
      <c r="D2" s="61" t="s">
        <v>103</v>
      </c>
      <c r="E2" s="78" t="s">
        <v>44</v>
      </c>
      <c r="F2" s="140">
        <v>42978</v>
      </c>
      <c r="G2" s="79">
        <v>42990</v>
      </c>
      <c r="H2" s="79">
        <v>42991</v>
      </c>
      <c r="I2" s="79">
        <v>42999</v>
      </c>
      <c r="J2" s="79">
        <v>43004</v>
      </c>
      <c r="K2" s="79">
        <v>42991</v>
      </c>
      <c r="L2" s="79">
        <v>43007</v>
      </c>
      <c r="M2" s="80"/>
      <c r="N2" s="80"/>
      <c r="O2" s="80"/>
      <c r="P2" s="81">
        <v>43055</v>
      </c>
      <c r="Q2" s="80"/>
      <c r="R2" s="80"/>
      <c r="S2" s="80"/>
      <c r="T2" s="80"/>
      <c r="U2" s="96" t="s">
        <v>331</v>
      </c>
      <c r="V2" s="96" t="s">
        <v>156</v>
      </c>
      <c r="W2" s="92">
        <v>1</v>
      </c>
      <c r="X2" s="76"/>
      <c r="Y2" s="76"/>
    </row>
    <row r="3" spans="1:25" s="77" customFormat="1" x14ac:dyDescent="0.15">
      <c r="A3" s="139"/>
      <c r="B3" s="141"/>
      <c r="C3" s="116"/>
      <c r="D3" s="61"/>
      <c r="E3" s="78" t="s">
        <v>44</v>
      </c>
      <c r="F3" s="140"/>
      <c r="G3" s="41">
        <v>42990</v>
      </c>
      <c r="H3" s="41">
        <v>42991</v>
      </c>
      <c r="I3" s="41">
        <v>42999</v>
      </c>
      <c r="J3" s="67">
        <v>43056</v>
      </c>
      <c r="K3" s="41">
        <v>42991</v>
      </c>
      <c r="L3" s="41">
        <v>43007</v>
      </c>
      <c r="M3" s="42"/>
      <c r="N3" s="42"/>
      <c r="O3" s="42"/>
      <c r="P3" s="39"/>
      <c r="Q3" s="42"/>
      <c r="R3" s="42"/>
      <c r="S3" s="42"/>
      <c r="T3" s="42"/>
      <c r="U3" s="106"/>
      <c r="V3" s="106"/>
      <c r="W3" s="104"/>
      <c r="X3" s="76"/>
      <c r="Y3" s="76"/>
    </row>
    <row r="4" spans="1:25" s="77" customFormat="1" x14ac:dyDescent="0.15">
      <c r="A4" s="139"/>
      <c r="B4" s="141"/>
      <c r="C4" s="116"/>
      <c r="D4" s="61" t="s">
        <v>103</v>
      </c>
      <c r="E4" s="78" t="s">
        <v>55</v>
      </c>
      <c r="F4" s="140"/>
      <c r="G4" s="79">
        <v>42990</v>
      </c>
      <c r="H4" s="79">
        <v>42991</v>
      </c>
      <c r="I4" s="79">
        <v>42999</v>
      </c>
      <c r="J4" s="79">
        <v>43004</v>
      </c>
      <c r="K4" s="79">
        <v>42991</v>
      </c>
      <c r="L4" s="79">
        <v>43021</v>
      </c>
      <c r="M4" s="81" t="str">
        <f ca="1">IF(M2="","注意",IF(M2=TODAY(),"预警",IF(M2&lt;TODAY(),"延期","")))</f>
        <v>注意</v>
      </c>
      <c r="N4" s="81" t="str">
        <f ca="1">IF(N2="","注意",IF(N2=TODAY(),"预警",IF(N2&lt;TODAY(),"延期","")))</f>
        <v>注意</v>
      </c>
      <c r="O4" s="81"/>
      <c r="P4" s="81" t="str">
        <f ca="1">IF(P2="","注意",IF(P2=TODAY(),"预警",IF(P2&lt;TODAY(),"延期","")))</f>
        <v>延期</v>
      </c>
      <c r="Q4" s="81"/>
      <c r="R4" s="81"/>
      <c r="S4" s="81"/>
      <c r="T4" s="81"/>
      <c r="U4" s="97"/>
      <c r="V4" s="97"/>
      <c r="W4" s="93"/>
      <c r="X4" s="76"/>
      <c r="Y4" s="76"/>
    </row>
    <row r="5" spans="1:25" s="77" customFormat="1" x14ac:dyDescent="0.15">
      <c r="A5" s="139">
        <v>2</v>
      </c>
      <c r="B5" s="141" t="s">
        <v>124</v>
      </c>
      <c r="C5" s="116" t="s">
        <v>121</v>
      </c>
      <c r="D5" s="61" t="s">
        <v>103</v>
      </c>
      <c r="E5" s="82" t="s">
        <v>56</v>
      </c>
      <c r="F5" s="140">
        <v>42874</v>
      </c>
      <c r="G5" s="79">
        <v>42891</v>
      </c>
      <c r="H5" s="79">
        <v>42898</v>
      </c>
      <c r="I5" s="79">
        <v>42906</v>
      </c>
      <c r="J5" s="79">
        <v>42913</v>
      </c>
      <c r="K5" s="79">
        <v>42887</v>
      </c>
      <c r="L5" s="79">
        <v>42902</v>
      </c>
      <c r="M5" s="80"/>
      <c r="N5" s="80"/>
      <c r="O5" s="79">
        <v>42979</v>
      </c>
      <c r="P5" s="79">
        <v>43040</v>
      </c>
      <c r="Q5" s="81">
        <v>43049</v>
      </c>
      <c r="R5" s="81">
        <v>43063</v>
      </c>
      <c r="S5" s="81">
        <v>43066</v>
      </c>
      <c r="T5" s="83">
        <v>43104</v>
      </c>
      <c r="U5" s="106" t="s">
        <v>191</v>
      </c>
      <c r="V5" s="106" t="s">
        <v>125</v>
      </c>
      <c r="W5" s="104"/>
      <c r="X5" s="76"/>
      <c r="Y5" s="76"/>
    </row>
    <row r="6" spans="1:25" s="77" customFormat="1" x14ac:dyDescent="0.15">
      <c r="A6" s="139"/>
      <c r="B6" s="141"/>
      <c r="C6" s="116"/>
      <c r="D6" s="61" t="s">
        <v>103</v>
      </c>
      <c r="E6" s="82" t="s">
        <v>56</v>
      </c>
      <c r="F6" s="140"/>
      <c r="G6" s="41">
        <v>42891</v>
      </c>
      <c r="H6" s="41">
        <v>42898</v>
      </c>
      <c r="I6" s="41">
        <v>42906</v>
      </c>
      <c r="J6" s="66">
        <v>43053</v>
      </c>
      <c r="K6" s="69">
        <v>42887</v>
      </c>
      <c r="L6" s="69">
        <v>42902</v>
      </c>
      <c r="M6" s="67"/>
      <c r="N6" s="67"/>
      <c r="O6" s="66">
        <v>43053</v>
      </c>
      <c r="P6" s="66">
        <v>43053</v>
      </c>
      <c r="Q6" s="67">
        <v>43063</v>
      </c>
      <c r="R6" s="67">
        <v>43076</v>
      </c>
      <c r="S6" s="67">
        <v>43076</v>
      </c>
      <c r="T6" s="70">
        <v>43115</v>
      </c>
      <c r="U6" s="106"/>
      <c r="V6" s="106"/>
      <c r="W6" s="104"/>
      <c r="X6" s="76"/>
      <c r="Y6" s="76"/>
    </row>
    <row r="7" spans="1:25" s="77" customFormat="1" x14ac:dyDescent="0.15">
      <c r="A7" s="139"/>
      <c r="B7" s="141"/>
      <c r="C7" s="116"/>
      <c r="D7" s="61" t="s">
        <v>103</v>
      </c>
      <c r="E7" s="82" t="s">
        <v>56</v>
      </c>
      <c r="F7" s="140"/>
      <c r="G7" s="79">
        <v>42891</v>
      </c>
      <c r="H7" s="79">
        <v>42895</v>
      </c>
      <c r="I7" s="79">
        <v>42907</v>
      </c>
      <c r="J7" s="79">
        <v>42914</v>
      </c>
      <c r="K7" s="79">
        <v>42887</v>
      </c>
      <c r="L7" s="79">
        <v>42922</v>
      </c>
      <c r="M7" s="81" t="str">
        <f ca="1">IF(M5="","注意",IF(M5=TODAY(),"预警",IF(M5&lt;TODAY(),"延期","")))</f>
        <v>注意</v>
      </c>
      <c r="N7" s="81" t="str">
        <f ca="1">IF(N5="","注意",IF(N5=TODAY(),"预警",IF(N5&lt;TODAY(),"延期","")))</f>
        <v>注意</v>
      </c>
      <c r="O7" s="79">
        <v>42984</v>
      </c>
      <c r="P7" s="79">
        <v>43048</v>
      </c>
      <c r="Q7" s="81" t="str">
        <f ca="1">IF(Q5="","注意",IF(Q5=TODAY(),"预警",IF(Q5&lt;TODAY(),"延期","")))</f>
        <v>延期</v>
      </c>
      <c r="R7" s="81" t="str">
        <f ca="1">IF(R5="","注意",IF(R5=TODAY(),"预警",IF(R5&lt;TODAY(),"延期","")))</f>
        <v/>
      </c>
      <c r="S7" s="81" t="str">
        <f ca="1">IF(S5="","注意",IF(S5=TODAY(),"预警",IF(S5&lt;TODAY(),"延期","")))</f>
        <v/>
      </c>
      <c r="T7" s="81" t="str">
        <f ca="1">IF(T5="","注意",IF(T5=TODAY(),"预警",IF(T5&lt;TODAY(),"延期","")))</f>
        <v/>
      </c>
      <c r="U7" s="97"/>
      <c r="V7" s="97"/>
      <c r="W7" s="93"/>
      <c r="X7" s="76"/>
      <c r="Y7" s="76"/>
    </row>
    <row r="8" spans="1:25" s="77" customFormat="1" x14ac:dyDescent="0.15">
      <c r="A8" s="139">
        <v>3</v>
      </c>
      <c r="B8" s="141" t="s">
        <v>144</v>
      </c>
      <c r="C8" s="116" t="s">
        <v>121</v>
      </c>
      <c r="D8" s="61" t="s">
        <v>110</v>
      </c>
      <c r="E8" s="78" t="s">
        <v>55</v>
      </c>
      <c r="F8" s="140">
        <v>42936</v>
      </c>
      <c r="G8" s="79">
        <v>42947</v>
      </c>
      <c r="H8" s="79">
        <v>42951</v>
      </c>
      <c r="I8" s="79">
        <v>42961</v>
      </c>
      <c r="J8" s="79">
        <v>42968</v>
      </c>
      <c r="K8" s="79">
        <v>42950</v>
      </c>
      <c r="L8" s="79">
        <v>42965</v>
      </c>
      <c r="M8" s="80"/>
      <c r="N8" s="80"/>
      <c r="O8" s="80">
        <v>43056</v>
      </c>
      <c r="P8" s="79">
        <v>43018</v>
      </c>
      <c r="Q8" s="80">
        <v>43084</v>
      </c>
      <c r="R8" s="80">
        <v>43098</v>
      </c>
      <c r="S8" s="80">
        <v>43104</v>
      </c>
      <c r="T8" s="80">
        <v>43146</v>
      </c>
      <c r="U8" s="106" t="s">
        <v>332</v>
      </c>
      <c r="V8" s="106" t="s">
        <v>145</v>
      </c>
      <c r="W8" s="104"/>
      <c r="X8" s="76"/>
      <c r="Y8" s="76"/>
    </row>
    <row r="9" spans="1:25" s="77" customFormat="1" x14ac:dyDescent="0.15">
      <c r="A9" s="139"/>
      <c r="B9" s="141"/>
      <c r="C9" s="116"/>
      <c r="D9" s="61" t="s">
        <v>110</v>
      </c>
      <c r="E9" s="78" t="s">
        <v>55</v>
      </c>
      <c r="F9" s="140"/>
      <c r="G9" s="41">
        <v>42947</v>
      </c>
      <c r="H9" s="41">
        <v>42951</v>
      </c>
      <c r="I9" s="41">
        <v>42961</v>
      </c>
      <c r="J9" s="41">
        <v>42968</v>
      </c>
      <c r="K9" s="41">
        <v>42950</v>
      </c>
      <c r="L9" s="41">
        <v>42965</v>
      </c>
      <c r="M9" s="42"/>
      <c r="N9" s="42"/>
      <c r="O9" s="67">
        <v>43094</v>
      </c>
      <c r="P9" s="41">
        <v>43018</v>
      </c>
      <c r="Q9" s="67">
        <v>43105</v>
      </c>
      <c r="R9" s="67">
        <v>43098</v>
      </c>
      <c r="S9" s="67">
        <v>43131</v>
      </c>
      <c r="T9" s="67">
        <v>43182</v>
      </c>
      <c r="U9" s="106"/>
      <c r="V9" s="106"/>
      <c r="W9" s="104"/>
      <c r="X9" s="76"/>
      <c r="Y9" s="76"/>
    </row>
    <row r="10" spans="1:25" s="77" customFormat="1" x14ac:dyDescent="0.15">
      <c r="A10" s="139"/>
      <c r="B10" s="141"/>
      <c r="C10" s="116"/>
      <c r="D10" s="61" t="s">
        <v>110</v>
      </c>
      <c r="E10" s="78" t="s">
        <v>55</v>
      </c>
      <c r="F10" s="140"/>
      <c r="G10" s="79">
        <v>42948</v>
      </c>
      <c r="H10" s="79">
        <v>42951</v>
      </c>
      <c r="I10" s="79">
        <v>42961</v>
      </c>
      <c r="J10" s="79">
        <v>42958</v>
      </c>
      <c r="K10" s="79">
        <v>42950</v>
      </c>
      <c r="L10" s="79">
        <v>42972</v>
      </c>
      <c r="M10" s="81" t="str">
        <f ca="1">IF(M8="","注意",IF(M8=TODAY(),"预警",IF(M8&lt;TODAY(),"延期","")))</f>
        <v>注意</v>
      </c>
      <c r="N10" s="81" t="str">
        <f ca="1">IF(N8="","注意",IF(N8=TODAY(),"预警",IF(N8&lt;TODAY(),"延期","")))</f>
        <v>注意</v>
      </c>
      <c r="O10" s="81" t="str">
        <f ca="1">IF(O8="","注意",IF(O8=TODAY(),"预警",IF(O8&lt;TODAY(),"延期","")))</f>
        <v>延期</v>
      </c>
      <c r="P10" s="79">
        <v>43018</v>
      </c>
      <c r="Q10" s="81" t="str">
        <f ca="1">IF(Q8="","注意",IF(Q8=TODAY(),"预警",IF(Q8&lt;TODAY(),"延期","")))</f>
        <v/>
      </c>
      <c r="R10" s="81" t="str">
        <f ca="1">IF(R8="","注意",IF(R8=TODAY(),"预警",IF(R8&lt;TODAY(),"延期","")))</f>
        <v/>
      </c>
      <c r="S10" s="81" t="str">
        <f ca="1">IF(S8="","注意",IF(S8=TODAY(),"预警",IF(S8&lt;TODAY(),"延期","")))</f>
        <v/>
      </c>
      <c r="T10" s="81" t="str">
        <f ca="1">IF(T8="","注意",IF(T8=TODAY(),"预警",IF(T8&lt;TODAY(),"延期","")))</f>
        <v/>
      </c>
      <c r="U10" s="97"/>
      <c r="V10" s="97"/>
      <c r="W10" s="93"/>
      <c r="X10" s="76"/>
      <c r="Y10" s="76"/>
    </row>
    <row r="11" spans="1:25" s="77" customFormat="1" x14ac:dyDescent="0.15">
      <c r="A11" s="139">
        <v>4</v>
      </c>
      <c r="B11" s="141" t="s">
        <v>118</v>
      </c>
      <c r="C11" s="116" t="s">
        <v>102</v>
      </c>
      <c r="D11" s="61" t="s">
        <v>103</v>
      </c>
      <c r="E11" s="78" t="s">
        <v>56</v>
      </c>
      <c r="F11" s="140">
        <v>42845</v>
      </c>
      <c r="G11" s="79">
        <v>42851</v>
      </c>
      <c r="H11" s="79">
        <v>42859</v>
      </c>
      <c r="I11" s="79">
        <v>42867</v>
      </c>
      <c r="J11" s="79">
        <v>42874</v>
      </c>
      <c r="K11" s="79">
        <v>42866</v>
      </c>
      <c r="L11" s="79">
        <v>42882</v>
      </c>
      <c r="M11" s="81"/>
      <c r="N11" s="81"/>
      <c r="O11" s="79">
        <v>42989</v>
      </c>
      <c r="P11" s="79">
        <v>43040</v>
      </c>
      <c r="Q11" s="81">
        <v>43056</v>
      </c>
      <c r="R11" s="81">
        <v>43055</v>
      </c>
      <c r="S11" s="80">
        <v>43060</v>
      </c>
      <c r="T11" s="83">
        <v>43097</v>
      </c>
      <c r="U11" s="106" t="s">
        <v>182</v>
      </c>
      <c r="V11" s="106" t="s">
        <v>119</v>
      </c>
      <c r="W11" s="104"/>
      <c r="X11" s="76"/>
      <c r="Y11" s="76"/>
    </row>
    <row r="12" spans="1:25" s="77" customFormat="1" x14ac:dyDescent="0.15">
      <c r="A12" s="139"/>
      <c r="B12" s="141"/>
      <c r="C12" s="116"/>
      <c r="D12" s="61" t="s">
        <v>103</v>
      </c>
      <c r="E12" s="78" t="s">
        <v>56</v>
      </c>
      <c r="F12" s="140"/>
      <c r="G12" s="41">
        <v>42851</v>
      </c>
      <c r="H12" s="41">
        <v>42859</v>
      </c>
      <c r="I12" s="41">
        <v>42867</v>
      </c>
      <c r="J12" s="66">
        <v>43061</v>
      </c>
      <c r="K12" s="41">
        <v>42866</v>
      </c>
      <c r="L12" s="41">
        <v>42882</v>
      </c>
      <c r="M12" s="39"/>
      <c r="N12" s="39"/>
      <c r="O12" s="67">
        <v>43069</v>
      </c>
      <c r="P12" s="41">
        <v>43040</v>
      </c>
      <c r="Q12" s="68">
        <v>43077</v>
      </c>
      <c r="R12" s="68">
        <v>43084</v>
      </c>
      <c r="S12" s="68">
        <v>43084</v>
      </c>
      <c r="T12" s="68">
        <v>43120</v>
      </c>
      <c r="U12" s="106"/>
      <c r="V12" s="106"/>
      <c r="W12" s="104"/>
      <c r="X12" s="76"/>
      <c r="Y12" s="76"/>
    </row>
    <row r="13" spans="1:25" s="77" customFormat="1" x14ac:dyDescent="0.15">
      <c r="A13" s="139"/>
      <c r="B13" s="141"/>
      <c r="C13" s="116"/>
      <c r="D13" s="61" t="s">
        <v>103</v>
      </c>
      <c r="E13" s="82" t="s">
        <v>56</v>
      </c>
      <c r="F13" s="140"/>
      <c r="G13" s="79">
        <v>42851</v>
      </c>
      <c r="H13" s="79">
        <v>42859</v>
      </c>
      <c r="I13" s="79">
        <v>42866</v>
      </c>
      <c r="J13" s="79">
        <v>42873</v>
      </c>
      <c r="K13" s="79">
        <v>42864</v>
      </c>
      <c r="L13" s="79">
        <v>42887</v>
      </c>
      <c r="M13" s="81" t="str">
        <f ca="1">IF(M11="","注意",IF(M11=TODAY(),"预警",IF(M11&lt;TODAY(),"延期","")))</f>
        <v>注意</v>
      </c>
      <c r="N13" s="81" t="str">
        <f ca="1">IF(N11="","注意",IF(N11=TODAY(),"预警",IF(N11&lt;TODAY(),"延期","")))</f>
        <v>注意</v>
      </c>
      <c r="O13" s="79">
        <v>42985</v>
      </c>
      <c r="P13" s="79">
        <v>43049</v>
      </c>
      <c r="Q13" s="81" t="str">
        <f ca="1">IF(Q11="","注意",IF(Q11=TODAY(),"预警",IF(Q11&lt;TODAY(),"延期","")))</f>
        <v>延期</v>
      </c>
      <c r="R13" s="81" t="str">
        <f ca="1">IF(R11="","注意",IF(R11=TODAY(),"预警",IF(R11&lt;TODAY(),"延期","")))</f>
        <v>延期</v>
      </c>
      <c r="S13" s="81" t="str">
        <f ca="1">IF(S11="","注意",IF(S11=TODAY(),"预警",IF(S11&lt;TODAY(),"延期","")))</f>
        <v>延期</v>
      </c>
      <c r="T13" s="81" t="str">
        <f ca="1">IF(T11="","注意",IF(T11=TODAY(),"预警",IF(T11&lt;TODAY(),"延期","")))</f>
        <v/>
      </c>
      <c r="U13" s="97"/>
      <c r="V13" s="97"/>
      <c r="W13" s="93"/>
      <c r="X13" s="76"/>
      <c r="Y13" s="76"/>
    </row>
    <row r="14" spans="1:25" s="77" customFormat="1" x14ac:dyDescent="0.15">
      <c r="A14" s="139">
        <v>5</v>
      </c>
      <c r="B14" s="91" t="s">
        <v>112</v>
      </c>
      <c r="C14" s="116" t="s">
        <v>102</v>
      </c>
      <c r="D14" s="61" t="s">
        <v>110</v>
      </c>
      <c r="E14" s="78" t="s">
        <v>56</v>
      </c>
      <c r="F14" s="140">
        <v>42741</v>
      </c>
      <c r="G14" s="79">
        <v>42826</v>
      </c>
      <c r="H14" s="79">
        <v>42844</v>
      </c>
      <c r="I14" s="79">
        <v>42851</v>
      </c>
      <c r="J14" s="79">
        <v>42858</v>
      </c>
      <c r="K14" s="79">
        <v>42849</v>
      </c>
      <c r="L14" s="79">
        <v>42864</v>
      </c>
      <c r="M14" s="81"/>
      <c r="N14" s="81"/>
      <c r="O14" s="79">
        <v>43031</v>
      </c>
      <c r="P14" s="79">
        <v>43033</v>
      </c>
      <c r="Q14" s="80">
        <v>43062</v>
      </c>
      <c r="R14" s="80">
        <v>43061</v>
      </c>
      <c r="S14" s="80">
        <v>43066</v>
      </c>
      <c r="T14" s="80">
        <v>43104</v>
      </c>
      <c r="U14" s="106" t="s">
        <v>187</v>
      </c>
      <c r="V14" s="106" t="s">
        <v>113</v>
      </c>
      <c r="W14" s="104"/>
      <c r="X14" s="76"/>
      <c r="Y14" s="76"/>
    </row>
    <row r="15" spans="1:25" s="77" customFormat="1" x14ac:dyDescent="0.15">
      <c r="A15" s="139"/>
      <c r="B15" s="91"/>
      <c r="C15" s="116"/>
      <c r="D15" s="61"/>
      <c r="E15" s="78"/>
      <c r="F15" s="140"/>
      <c r="G15" s="41">
        <v>42826</v>
      </c>
      <c r="H15" s="41">
        <v>42844</v>
      </c>
      <c r="I15" s="41">
        <v>42851</v>
      </c>
      <c r="J15" s="66">
        <v>43046</v>
      </c>
      <c r="K15" s="41">
        <v>42849</v>
      </c>
      <c r="L15" s="41">
        <v>42864</v>
      </c>
      <c r="M15" s="39"/>
      <c r="N15" s="39"/>
      <c r="O15" s="66">
        <v>43048</v>
      </c>
      <c r="P15" s="41">
        <v>43033</v>
      </c>
      <c r="Q15" s="80"/>
      <c r="R15" s="80"/>
      <c r="S15" s="80"/>
      <c r="T15" s="80"/>
      <c r="U15" s="106"/>
      <c r="V15" s="106"/>
      <c r="W15" s="104"/>
      <c r="X15" s="76"/>
      <c r="Y15" s="76"/>
    </row>
    <row r="16" spans="1:25" s="77" customFormat="1" x14ac:dyDescent="0.15">
      <c r="A16" s="139"/>
      <c r="B16" s="91"/>
      <c r="C16" s="116"/>
      <c r="D16" s="61" t="s">
        <v>110</v>
      </c>
      <c r="E16" s="78" t="s">
        <v>193</v>
      </c>
      <c r="F16" s="140"/>
      <c r="G16" s="79">
        <v>42826</v>
      </c>
      <c r="H16" s="79">
        <v>42845</v>
      </c>
      <c r="I16" s="79">
        <v>42871</v>
      </c>
      <c r="J16" s="79">
        <v>42879</v>
      </c>
      <c r="K16" s="79">
        <v>42860</v>
      </c>
      <c r="L16" s="79">
        <v>42882</v>
      </c>
      <c r="M16" s="81" t="str">
        <f ca="1">IF(M14="","注意",IF(M14=TODAY(),"预警",IF(M14&lt;TODAY(),"延期","")))</f>
        <v>注意</v>
      </c>
      <c r="N16" s="81" t="str">
        <f ca="1">IF(N14="","注意",IF(N14=TODAY(),"预警",IF(N14&lt;TODAY(),"延期","")))</f>
        <v>注意</v>
      </c>
      <c r="O16" s="79">
        <v>43031</v>
      </c>
      <c r="P16" s="79">
        <v>43031</v>
      </c>
      <c r="Q16" s="81" t="str">
        <f ca="1">IF(Q14="","注意",IF(Q14=TODAY(),"预警",IF(Q14&lt;TODAY(),"延期","")))</f>
        <v>预警</v>
      </c>
      <c r="R16" s="81" t="str">
        <f ca="1">IF(R14="","注意",IF(R14=TODAY(),"预警",IF(R14&lt;TODAY(),"延期","")))</f>
        <v>延期</v>
      </c>
      <c r="S16" s="81" t="str">
        <f ca="1">IF(S14="","注意",IF(S14=TODAY(),"预警",IF(S14&lt;TODAY(),"延期","")))</f>
        <v/>
      </c>
      <c r="T16" s="81" t="str">
        <f ca="1">IF(T14="","注意",IF(T14=TODAY(),"预警",IF(T14&lt;TODAY(),"延期","")))</f>
        <v/>
      </c>
      <c r="U16" s="106"/>
      <c r="V16" s="97"/>
      <c r="W16" s="93"/>
      <c r="X16" s="76"/>
      <c r="Y16" s="76"/>
    </row>
    <row r="17" spans="1:25" customFormat="1" x14ac:dyDescent="0.15">
      <c r="A17" s="90">
        <v>6</v>
      </c>
      <c r="B17" s="113" t="s">
        <v>114</v>
      </c>
      <c r="C17" s="110" t="s">
        <v>102</v>
      </c>
      <c r="D17" s="65" t="s">
        <v>110</v>
      </c>
      <c r="E17" s="84" t="s">
        <v>55</v>
      </c>
      <c r="F17" s="135">
        <v>42741</v>
      </c>
      <c r="G17" s="41">
        <v>42818</v>
      </c>
      <c r="H17" s="41">
        <v>42837</v>
      </c>
      <c r="I17" s="41">
        <v>42846</v>
      </c>
      <c r="J17" s="41">
        <v>42852</v>
      </c>
      <c r="K17" s="41">
        <v>42864</v>
      </c>
      <c r="L17" s="41">
        <v>42882</v>
      </c>
      <c r="M17" s="39"/>
      <c r="N17" s="39"/>
      <c r="O17" s="42">
        <v>43038</v>
      </c>
      <c r="P17" s="41">
        <v>43033</v>
      </c>
      <c r="Q17" s="42">
        <v>43069</v>
      </c>
      <c r="R17" s="42">
        <v>43068</v>
      </c>
      <c r="S17" s="42">
        <v>43073</v>
      </c>
      <c r="T17" s="44">
        <v>43111</v>
      </c>
      <c r="U17" s="106"/>
      <c r="V17" s="106" t="s">
        <v>113</v>
      </c>
      <c r="W17" s="107"/>
      <c r="X17" s="38"/>
      <c r="Y17" s="38"/>
    </row>
    <row r="18" spans="1:25" customFormat="1" x14ac:dyDescent="0.15">
      <c r="A18" s="90"/>
      <c r="B18" s="113"/>
      <c r="C18" s="110"/>
      <c r="D18" s="65"/>
      <c r="E18" s="84"/>
      <c r="F18" s="135"/>
      <c r="G18" s="41">
        <v>42818</v>
      </c>
      <c r="H18" s="41">
        <v>42837</v>
      </c>
      <c r="I18" s="41">
        <v>42846</v>
      </c>
      <c r="J18" s="66">
        <v>43046</v>
      </c>
      <c r="K18" s="41">
        <v>42864</v>
      </c>
      <c r="L18" s="41">
        <v>42882</v>
      </c>
      <c r="M18" s="39"/>
      <c r="N18" s="39"/>
      <c r="O18" s="67">
        <v>43067</v>
      </c>
      <c r="P18" s="41">
        <v>43033</v>
      </c>
      <c r="Q18" s="67">
        <v>43084</v>
      </c>
      <c r="R18" s="67">
        <v>43089</v>
      </c>
      <c r="S18" s="67">
        <v>43089</v>
      </c>
      <c r="T18" s="67">
        <v>43125</v>
      </c>
      <c r="U18" s="106"/>
      <c r="V18" s="106"/>
      <c r="W18" s="107"/>
      <c r="X18" s="38"/>
      <c r="Y18" s="38"/>
    </row>
    <row r="19" spans="1:25" customFormat="1" x14ac:dyDescent="0.15">
      <c r="A19" s="90"/>
      <c r="B19" s="113"/>
      <c r="C19" s="110"/>
      <c r="D19" s="65" t="s">
        <v>110</v>
      </c>
      <c r="E19" s="84" t="s">
        <v>55</v>
      </c>
      <c r="F19" s="135"/>
      <c r="G19" s="41">
        <v>42817</v>
      </c>
      <c r="H19" s="41">
        <v>42837</v>
      </c>
      <c r="I19" s="41">
        <v>42845</v>
      </c>
      <c r="J19" s="41">
        <v>42853</v>
      </c>
      <c r="K19" s="41">
        <v>42850</v>
      </c>
      <c r="L19" s="41">
        <v>42882</v>
      </c>
      <c r="M19" s="39" t="str">
        <f ca="1">IF(M17="","注意",IF(M17=TODAY(),"预警",IF(M17&lt;TODAY(),"延期","")))</f>
        <v>注意</v>
      </c>
      <c r="N19" s="39" t="str">
        <f ca="1">IF(N17="","注意",IF(N17=TODAY(),"预警",IF(N17&lt;TODAY(),"延期","")))</f>
        <v>注意</v>
      </c>
      <c r="O19" s="39" t="str">
        <f ca="1">IF(O17="","注意",IF(O17=TODAY(),"预警",IF(O17&lt;TODAY(),"延期","")))</f>
        <v>延期</v>
      </c>
      <c r="P19" s="41">
        <v>43031</v>
      </c>
      <c r="Q19" s="39" t="str">
        <f ca="1">IF(Q17="","注意",IF(Q17=TODAY(),"预警",IF(Q17&lt;TODAY(),"延期","")))</f>
        <v/>
      </c>
      <c r="R19" s="39" t="str">
        <f ca="1">IF(R17="","注意",IF(R17=TODAY(),"预警",IF(R17&lt;TODAY(),"延期","")))</f>
        <v/>
      </c>
      <c r="S19" s="39" t="str">
        <f ca="1">IF(S17="","注意",IF(S17=TODAY(),"预警",IF(S17&lt;TODAY(),"延期","")))</f>
        <v/>
      </c>
      <c r="T19" s="39" t="str">
        <f ca="1">IF(T17="","注意",IF(T17=TODAY(),"预警",IF(T17&lt;TODAY(),"延期","")))</f>
        <v/>
      </c>
      <c r="U19" s="97"/>
      <c r="V19" s="97"/>
      <c r="W19" s="108"/>
      <c r="X19" s="38"/>
      <c r="Y19" s="38"/>
    </row>
    <row r="20" spans="1:25" customFormat="1" x14ac:dyDescent="0.15">
      <c r="A20" s="90">
        <v>7</v>
      </c>
      <c r="B20" s="91" t="s">
        <v>163</v>
      </c>
      <c r="C20" s="116" t="s">
        <v>121</v>
      </c>
      <c r="D20" s="61" t="s">
        <v>103</v>
      </c>
      <c r="E20" s="53" t="s">
        <v>54</v>
      </c>
      <c r="F20" s="135">
        <v>43017</v>
      </c>
      <c r="G20" s="41">
        <v>43028</v>
      </c>
      <c r="H20" s="41">
        <v>43035</v>
      </c>
      <c r="I20" s="41">
        <v>43045</v>
      </c>
      <c r="J20" s="42">
        <v>43052</v>
      </c>
      <c r="K20" s="41">
        <v>43035</v>
      </c>
      <c r="L20" s="42">
        <v>43052</v>
      </c>
      <c r="M20" s="42"/>
      <c r="N20" s="42"/>
      <c r="O20" s="42">
        <v>43115</v>
      </c>
      <c r="P20" s="42">
        <v>43118</v>
      </c>
      <c r="Q20" s="42">
        <v>43139</v>
      </c>
      <c r="R20" s="42">
        <v>43165</v>
      </c>
      <c r="S20" s="42">
        <v>43172</v>
      </c>
      <c r="T20" s="42">
        <v>43209</v>
      </c>
      <c r="U20" s="136" t="s">
        <v>184</v>
      </c>
      <c r="V20" s="96" t="s">
        <v>164</v>
      </c>
      <c r="W20" s="92">
        <v>1</v>
      </c>
      <c r="X20" s="38"/>
      <c r="Y20" s="38"/>
    </row>
    <row r="21" spans="1:25" customFormat="1" x14ac:dyDescent="0.15">
      <c r="A21" s="90"/>
      <c r="B21" s="91"/>
      <c r="C21" s="116"/>
      <c r="D21" s="61"/>
      <c r="E21" s="53"/>
      <c r="F21" s="135"/>
      <c r="G21" s="41">
        <v>43028</v>
      </c>
      <c r="H21" s="41">
        <v>43035</v>
      </c>
      <c r="I21" s="41">
        <v>43045</v>
      </c>
      <c r="J21" s="67">
        <v>43069</v>
      </c>
      <c r="K21" s="41">
        <v>43035</v>
      </c>
      <c r="L21" s="42">
        <v>43052</v>
      </c>
      <c r="M21" s="42"/>
      <c r="N21" s="42"/>
      <c r="O21" s="67">
        <v>43123</v>
      </c>
      <c r="P21" s="67">
        <v>43079</v>
      </c>
      <c r="Q21" s="67" t="s">
        <v>329</v>
      </c>
      <c r="R21" s="67">
        <v>43174</v>
      </c>
      <c r="S21" s="67">
        <v>43179</v>
      </c>
      <c r="T21" s="67">
        <v>43215</v>
      </c>
      <c r="U21" s="137"/>
      <c r="V21" s="106"/>
      <c r="W21" s="104"/>
      <c r="X21" s="38"/>
      <c r="Y21" s="38"/>
    </row>
    <row r="22" spans="1:25" customFormat="1" x14ac:dyDescent="0.15">
      <c r="A22" s="90"/>
      <c r="B22" s="91"/>
      <c r="C22" s="116"/>
      <c r="D22" s="61" t="s">
        <v>103</v>
      </c>
      <c r="E22" s="53" t="s">
        <v>54</v>
      </c>
      <c r="F22" s="135"/>
      <c r="G22" s="41">
        <v>43031</v>
      </c>
      <c r="H22" s="41">
        <v>43040</v>
      </c>
      <c r="I22" s="41">
        <v>43045</v>
      </c>
      <c r="J22" s="39" t="str">
        <f t="shared" ref="J22:T22" ca="1" si="0">IF(J20="","注意",IF(J20=TODAY(),"预警",IF(J20&lt;TODAY(),"延期","")))</f>
        <v>延期</v>
      </c>
      <c r="K22" s="41">
        <v>43038</v>
      </c>
      <c r="L22" s="39" t="str">
        <f t="shared" ca="1" si="0"/>
        <v>延期</v>
      </c>
      <c r="M22" s="39" t="str">
        <f t="shared" ca="1" si="0"/>
        <v>注意</v>
      </c>
      <c r="N22" s="39" t="str">
        <f t="shared" ca="1" si="0"/>
        <v>注意</v>
      </c>
      <c r="O22" s="39" t="str">
        <f t="shared" ca="1" si="0"/>
        <v/>
      </c>
      <c r="P22" s="39" t="str">
        <f t="shared" ca="1" si="0"/>
        <v/>
      </c>
      <c r="Q22" s="39" t="str">
        <f t="shared" ca="1" si="0"/>
        <v/>
      </c>
      <c r="R22" s="39" t="str">
        <f t="shared" ca="1" si="0"/>
        <v/>
      </c>
      <c r="S22" s="39" t="str">
        <f t="shared" ca="1" si="0"/>
        <v/>
      </c>
      <c r="T22" s="39" t="str">
        <f t="shared" ca="1" si="0"/>
        <v/>
      </c>
      <c r="U22" s="138"/>
      <c r="V22" s="97"/>
      <c r="W22" s="93"/>
      <c r="X22" s="38"/>
      <c r="Y22" s="38"/>
    </row>
    <row r="23" spans="1:25" customFormat="1" x14ac:dyDescent="0.15">
      <c r="A23" s="90">
        <v>8</v>
      </c>
      <c r="B23" s="91" t="s">
        <v>161</v>
      </c>
      <c r="C23" s="116" t="s">
        <v>102</v>
      </c>
      <c r="D23" s="61" t="s">
        <v>103</v>
      </c>
      <c r="E23" s="53" t="s">
        <v>54</v>
      </c>
      <c r="F23" s="135">
        <v>42986</v>
      </c>
      <c r="G23" s="41">
        <v>43021</v>
      </c>
      <c r="H23" s="41">
        <v>43027</v>
      </c>
      <c r="I23" s="41">
        <v>43035</v>
      </c>
      <c r="J23" s="41">
        <v>43049</v>
      </c>
      <c r="K23" s="41">
        <v>43021</v>
      </c>
      <c r="L23" s="42">
        <v>43045</v>
      </c>
      <c r="M23" s="42"/>
      <c r="N23" s="42"/>
      <c r="O23" s="42">
        <v>43066</v>
      </c>
      <c r="P23" s="42">
        <v>43066</v>
      </c>
      <c r="Q23" s="42">
        <v>43080</v>
      </c>
      <c r="R23" s="42">
        <v>43098</v>
      </c>
      <c r="S23" s="42">
        <v>43105</v>
      </c>
      <c r="T23" s="42">
        <v>43143</v>
      </c>
      <c r="U23" s="96" t="s">
        <v>333</v>
      </c>
      <c r="V23" s="96" t="s">
        <v>126</v>
      </c>
      <c r="W23" s="92">
        <v>1</v>
      </c>
      <c r="X23" s="38"/>
      <c r="Y23" s="38"/>
    </row>
    <row r="24" spans="1:25" customFormat="1" x14ac:dyDescent="0.15">
      <c r="A24" s="90"/>
      <c r="B24" s="91"/>
      <c r="C24" s="116"/>
      <c r="D24" s="61"/>
      <c r="E24" s="53"/>
      <c r="F24" s="135"/>
      <c r="G24" s="41">
        <v>43021</v>
      </c>
      <c r="H24" s="41">
        <v>43027</v>
      </c>
      <c r="I24" s="41">
        <v>43035</v>
      </c>
      <c r="J24" s="66">
        <v>43049</v>
      </c>
      <c r="K24" s="41">
        <v>43021</v>
      </c>
      <c r="L24" s="42">
        <v>43045</v>
      </c>
      <c r="M24" s="42"/>
      <c r="N24" s="42"/>
      <c r="O24" s="67">
        <v>43075</v>
      </c>
      <c r="P24" s="67">
        <v>43066</v>
      </c>
      <c r="Q24" s="67">
        <v>43088</v>
      </c>
      <c r="R24" s="67">
        <v>43105</v>
      </c>
      <c r="S24" s="67">
        <v>43123</v>
      </c>
      <c r="T24" s="67">
        <v>43174</v>
      </c>
      <c r="U24" s="106"/>
      <c r="V24" s="106"/>
      <c r="W24" s="104"/>
      <c r="X24" s="38"/>
      <c r="Y24" s="38"/>
    </row>
    <row r="25" spans="1:25" customFormat="1" x14ac:dyDescent="0.15">
      <c r="A25" s="90"/>
      <c r="B25" s="91"/>
      <c r="C25" s="116"/>
      <c r="D25" s="61" t="s">
        <v>103</v>
      </c>
      <c r="E25" s="53" t="s">
        <v>54</v>
      </c>
      <c r="F25" s="135"/>
      <c r="G25" s="41">
        <v>43024</v>
      </c>
      <c r="H25" s="41">
        <v>43031</v>
      </c>
      <c r="I25" s="41">
        <v>43038</v>
      </c>
      <c r="J25" s="41">
        <v>43049</v>
      </c>
      <c r="K25" s="41">
        <v>43028</v>
      </c>
      <c r="L25" s="39" t="str">
        <f t="shared" ref="L25:T25" ca="1" si="1">IF(L23="","注意",IF(L23=TODAY(),"预警",IF(L23&lt;TODAY(),"延期","")))</f>
        <v>延期</v>
      </c>
      <c r="M25" s="39" t="str">
        <f t="shared" ca="1" si="1"/>
        <v>注意</v>
      </c>
      <c r="N25" s="39" t="str">
        <f t="shared" ca="1" si="1"/>
        <v>注意</v>
      </c>
      <c r="O25" s="39" t="str">
        <f t="shared" ca="1" si="1"/>
        <v/>
      </c>
      <c r="P25" s="39" t="str">
        <f t="shared" ca="1" si="1"/>
        <v/>
      </c>
      <c r="Q25" s="39" t="str">
        <f t="shared" ca="1" si="1"/>
        <v/>
      </c>
      <c r="R25" s="39" t="str">
        <f t="shared" ca="1" si="1"/>
        <v/>
      </c>
      <c r="S25" s="39" t="str">
        <f t="shared" ca="1" si="1"/>
        <v/>
      </c>
      <c r="T25" s="39" t="str">
        <f t="shared" ca="1" si="1"/>
        <v/>
      </c>
      <c r="U25" s="97"/>
      <c r="V25" s="97"/>
      <c r="W25" s="93"/>
      <c r="X25" s="38"/>
      <c r="Y25" s="38"/>
    </row>
    <row r="32" spans="1:25" x14ac:dyDescent="0.15">
      <c r="A32" s="85"/>
    </row>
    <row r="33" s="85" customFormat="1" ht="12" x14ac:dyDescent="0.15"/>
  </sheetData>
  <mergeCells count="55">
    <mergeCell ref="W2:W4"/>
    <mergeCell ref="A5:A7"/>
    <mergeCell ref="B5:B7"/>
    <mergeCell ref="C5:C7"/>
    <mergeCell ref="F5:F7"/>
    <mergeCell ref="U5:U7"/>
    <mergeCell ref="V5:V7"/>
    <mergeCell ref="W5:W7"/>
    <mergeCell ref="A2:A4"/>
    <mergeCell ref="B2:B4"/>
    <mergeCell ref="C2:C4"/>
    <mergeCell ref="F2:F4"/>
    <mergeCell ref="U2:U4"/>
    <mergeCell ref="V2:V4"/>
    <mergeCell ref="W8:W10"/>
    <mergeCell ref="A11:A13"/>
    <mergeCell ref="B11:B13"/>
    <mergeCell ref="C11:C13"/>
    <mergeCell ref="F11:F13"/>
    <mergeCell ref="U11:U13"/>
    <mergeCell ref="V11:V13"/>
    <mergeCell ref="W11:W13"/>
    <mergeCell ref="A8:A10"/>
    <mergeCell ref="B8:B10"/>
    <mergeCell ref="C8:C10"/>
    <mergeCell ref="F8:F10"/>
    <mergeCell ref="U8:U10"/>
    <mergeCell ref="V8:V10"/>
    <mergeCell ref="W14:W16"/>
    <mergeCell ref="A17:A19"/>
    <mergeCell ref="B17:B19"/>
    <mergeCell ref="C17:C19"/>
    <mergeCell ref="F17:F19"/>
    <mergeCell ref="V17:V19"/>
    <mergeCell ref="W17:W19"/>
    <mergeCell ref="A14:A16"/>
    <mergeCell ref="B14:B16"/>
    <mergeCell ref="C14:C16"/>
    <mergeCell ref="F14:F16"/>
    <mergeCell ref="U14:U19"/>
    <mergeCell ref="V14:V16"/>
    <mergeCell ref="W20:W22"/>
    <mergeCell ref="A23:A25"/>
    <mergeCell ref="B23:B25"/>
    <mergeCell ref="C23:C25"/>
    <mergeCell ref="F23:F25"/>
    <mergeCell ref="U23:U25"/>
    <mergeCell ref="V23:V25"/>
    <mergeCell ref="W23:W25"/>
    <mergeCell ref="A20:A22"/>
    <mergeCell ref="B20:B22"/>
    <mergeCell ref="C20:C22"/>
    <mergeCell ref="F20:F22"/>
    <mergeCell ref="U20:U22"/>
    <mergeCell ref="V20:V22"/>
  </mergeCells>
  <phoneticPr fontId="1" type="noConversion"/>
  <conditionalFormatting sqref="M4:O4 Q4:T4">
    <cfRule type="containsText" dxfId="126" priority="118" operator="containsText" text="注意">
      <formula>NOT(ISERROR(SEARCH("注意",M4)))</formula>
    </cfRule>
    <cfRule type="containsText" dxfId="125" priority="119" operator="containsText" text="延期">
      <formula>NOT(ISERROR(SEARCH("延期",M4)))</formula>
    </cfRule>
    <cfRule type="containsText" dxfId="124" priority="120" operator="containsText" text="预警">
      <formula>NOT(ISERROR(SEARCH("预警",M4)))</formula>
    </cfRule>
  </conditionalFormatting>
  <conditionalFormatting sqref="P4">
    <cfRule type="containsText" dxfId="123" priority="115" operator="containsText" text="注意">
      <formula>NOT(ISERROR(SEARCH("注意",P4)))</formula>
    </cfRule>
    <cfRule type="containsText" dxfId="122" priority="116" operator="containsText" text="延期">
      <formula>NOT(ISERROR(SEARCH("延期",P4)))</formula>
    </cfRule>
    <cfRule type="containsText" dxfId="121" priority="117" operator="containsText" text="预警">
      <formula>NOT(ISERROR(SEARCH("预警",P4)))</formula>
    </cfRule>
  </conditionalFormatting>
  <conditionalFormatting sqref="P2">
    <cfRule type="containsText" dxfId="120" priority="112" operator="containsText" text="注意">
      <formula>NOT(ISERROR(SEARCH("注意",P2)))</formula>
    </cfRule>
    <cfRule type="containsText" dxfId="119" priority="113" operator="containsText" text="延期">
      <formula>NOT(ISERROR(SEARCH("延期",P2)))</formula>
    </cfRule>
    <cfRule type="containsText" dxfId="118" priority="114" operator="containsText" text="预警">
      <formula>NOT(ISERROR(SEARCH("预警",P2)))</formula>
    </cfRule>
  </conditionalFormatting>
  <conditionalFormatting sqref="Q7:T7">
    <cfRule type="containsText" dxfId="117" priority="109" operator="containsText" text="注意">
      <formula>NOT(ISERROR(SEARCH("注意",Q7)))</formula>
    </cfRule>
    <cfRule type="containsText" dxfId="116" priority="110" operator="containsText" text="延期">
      <formula>NOT(ISERROR(SEARCH("延期",Q7)))</formula>
    </cfRule>
    <cfRule type="containsText" dxfId="115" priority="111" operator="containsText" text="预警">
      <formula>NOT(ISERROR(SEARCH("预警",Q7)))</formula>
    </cfRule>
  </conditionalFormatting>
  <conditionalFormatting sqref="Q5:S5">
    <cfRule type="containsText" dxfId="114" priority="106" operator="containsText" text="注意">
      <formula>NOT(ISERROR(SEARCH("注意",Q5)))</formula>
    </cfRule>
    <cfRule type="containsText" dxfId="113" priority="107" operator="containsText" text="延期">
      <formula>NOT(ISERROR(SEARCH("延期",Q5)))</formula>
    </cfRule>
    <cfRule type="containsText" dxfId="112" priority="108" operator="containsText" text="预警">
      <formula>NOT(ISERROR(SEARCH("预警",Q5)))</formula>
    </cfRule>
  </conditionalFormatting>
  <conditionalFormatting sqref="M7:N7">
    <cfRule type="containsText" dxfId="111" priority="103" operator="containsText" text="注意">
      <formula>NOT(ISERROR(SEARCH("注意",M7)))</formula>
    </cfRule>
    <cfRule type="containsText" dxfId="110" priority="104" operator="containsText" text="延期">
      <formula>NOT(ISERROR(SEARCH("延期",M7)))</formula>
    </cfRule>
    <cfRule type="containsText" dxfId="109" priority="105" operator="containsText" text="预警">
      <formula>NOT(ISERROR(SEARCH("预警",M7)))</formula>
    </cfRule>
  </conditionalFormatting>
  <conditionalFormatting sqref="O10 Q10:T10">
    <cfRule type="containsText" dxfId="108" priority="100" operator="containsText" text="注意">
      <formula>NOT(ISERROR(SEARCH("注意",O10)))</formula>
    </cfRule>
    <cfRule type="containsText" dxfId="107" priority="101" operator="containsText" text="延期">
      <formula>NOT(ISERROR(SEARCH("延期",O10)))</formula>
    </cfRule>
    <cfRule type="containsText" dxfId="106" priority="102" operator="containsText" text="预警">
      <formula>NOT(ISERROR(SEARCH("预警",O10)))</formula>
    </cfRule>
  </conditionalFormatting>
  <conditionalFormatting sqref="G10">
    <cfRule type="containsText" dxfId="105" priority="97" operator="containsText" text="注意">
      <formula>NOT(ISERROR(SEARCH("注意",G10)))</formula>
    </cfRule>
    <cfRule type="containsText" dxfId="104" priority="98" operator="containsText" text="延期">
      <formula>NOT(ISERROR(SEARCH("延期",G10)))</formula>
    </cfRule>
    <cfRule type="containsText" dxfId="103" priority="99" operator="containsText" text="预警">
      <formula>NOT(ISERROR(SEARCH("预警",G10)))</formula>
    </cfRule>
  </conditionalFormatting>
  <conditionalFormatting sqref="H10">
    <cfRule type="containsText" dxfId="102" priority="94" operator="containsText" text="注意">
      <formula>NOT(ISERROR(SEARCH("注意",H10)))</formula>
    </cfRule>
    <cfRule type="containsText" dxfId="101" priority="95" operator="containsText" text="延期">
      <formula>NOT(ISERROR(SEARCH("延期",H10)))</formula>
    </cfRule>
    <cfRule type="containsText" dxfId="100" priority="96" operator="containsText" text="预警">
      <formula>NOT(ISERROR(SEARCH("预警",H10)))</formula>
    </cfRule>
  </conditionalFormatting>
  <conditionalFormatting sqref="I10">
    <cfRule type="containsText" dxfId="99" priority="91" operator="containsText" text="注意">
      <formula>NOT(ISERROR(SEARCH("注意",I10)))</formula>
    </cfRule>
    <cfRule type="containsText" dxfId="98" priority="92" operator="containsText" text="延期">
      <formula>NOT(ISERROR(SEARCH("延期",I10)))</formula>
    </cfRule>
    <cfRule type="containsText" dxfId="97" priority="93" operator="containsText" text="预警">
      <formula>NOT(ISERROR(SEARCH("预警",I10)))</formula>
    </cfRule>
  </conditionalFormatting>
  <conditionalFormatting sqref="K10">
    <cfRule type="containsText" dxfId="96" priority="88" operator="containsText" text="注意">
      <formula>NOT(ISERROR(SEARCH("注意",K10)))</formula>
    </cfRule>
    <cfRule type="containsText" dxfId="95" priority="89" operator="containsText" text="延期">
      <formula>NOT(ISERROR(SEARCH("延期",K10)))</formula>
    </cfRule>
    <cfRule type="containsText" dxfId="94" priority="90" operator="containsText" text="预警">
      <formula>NOT(ISERROR(SEARCH("预警",K10)))</formula>
    </cfRule>
  </conditionalFormatting>
  <conditionalFormatting sqref="J10">
    <cfRule type="containsText" dxfId="93" priority="85" operator="containsText" text="注意">
      <formula>NOT(ISERROR(SEARCH("注意",J10)))</formula>
    </cfRule>
    <cfRule type="containsText" dxfId="92" priority="86" operator="containsText" text="延期">
      <formula>NOT(ISERROR(SEARCH("延期",J10)))</formula>
    </cfRule>
    <cfRule type="containsText" dxfId="91" priority="87" operator="containsText" text="预警">
      <formula>NOT(ISERROR(SEARCH("预警",J10)))</formula>
    </cfRule>
  </conditionalFormatting>
  <conditionalFormatting sqref="L10">
    <cfRule type="containsText" dxfId="90" priority="82" operator="containsText" text="注意">
      <formula>NOT(ISERROR(SEARCH("注意",L10)))</formula>
    </cfRule>
    <cfRule type="containsText" dxfId="89" priority="83" operator="containsText" text="延期">
      <formula>NOT(ISERROR(SEARCH("延期",L10)))</formula>
    </cfRule>
    <cfRule type="containsText" dxfId="88" priority="84" operator="containsText" text="预警">
      <formula>NOT(ISERROR(SEARCH("预警",L10)))</formula>
    </cfRule>
  </conditionalFormatting>
  <conditionalFormatting sqref="P10">
    <cfRule type="containsText" dxfId="87" priority="79" operator="containsText" text="注意">
      <formula>NOT(ISERROR(SEARCH("注意",P10)))</formula>
    </cfRule>
    <cfRule type="containsText" dxfId="86" priority="80" operator="containsText" text="延期">
      <formula>NOT(ISERROR(SEARCH("延期",P10)))</formula>
    </cfRule>
    <cfRule type="containsText" dxfId="85" priority="81" operator="containsText" text="预警">
      <formula>NOT(ISERROR(SEARCH("预警",P10)))</formula>
    </cfRule>
  </conditionalFormatting>
  <conditionalFormatting sqref="M10:N10">
    <cfRule type="containsText" dxfId="84" priority="76" operator="containsText" text="注意">
      <formula>NOT(ISERROR(SEARCH("注意",M10)))</formula>
    </cfRule>
    <cfRule type="containsText" dxfId="83" priority="77" operator="containsText" text="延期">
      <formula>NOT(ISERROR(SEARCH("延期",M10)))</formula>
    </cfRule>
    <cfRule type="containsText" dxfId="82" priority="78" operator="containsText" text="预警">
      <formula>NOT(ISERROR(SEARCH("预警",M10)))</formula>
    </cfRule>
  </conditionalFormatting>
  <conditionalFormatting sqref="Q13:T13">
    <cfRule type="containsText" dxfId="81" priority="73" operator="containsText" text="注意">
      <formula>NOT(ISERROR(SEARCH("注意",Q13)))</formula>
    </cfRule>
    <cfRule type="containsText" dxfId="80" priority="74" operator="containsText" text="延期">
      <formula>NOT(ISERROR(SEARCH("延期",Q13)))</formula>
    </cfRule>
    <cfRule type="containsText" dxfId="79" priority="75" operator="containsText" text="预警">
      <formula>NOT(ISERROR(SEARCH("预警",Q13)))</formula>
    </cfRule>
  </conditionalFormatting>
  <conditionalFormatting sqref="M13:N13">
    <cfRule type="containsText" dxfId="78" priority="70" operator="containsText" text="注意">
      <formula>NOT(ISERROR(SEARCH("注意",M13)))</formula>
    </cfRule>
    <cfRule type="containsText" dxfId="77" priority="71" operator="containsText" text="延期">
      <formula>NOT(ISERROR(SEARCH("延期",M13)))</formula>
    </cfRule>
    <cfRule type="containsText" dxfId="76" priority="72" operator="containsText" text="预警">
      <formula>NOT(ISERROR(SEARCH("预警",M13)))</formula>
    </cfRule>
  </conditionalFormatting>
  <conditionalFormatting sqref="Q16:T16">
    <cfRule type="containsText" dxfId="75" priority="67" operator="containsText" text="注意">
      <formula>NOT(ISERROR(SEARCH("注意",Q16)))</formula>
    </cfRule>
    <cfRule type="containsText" dxfId="74" priority="68" operator="containsText" text="延期">
      <formula>NOT(ISERROR(SEARCH("延期",Q16)))</formula>
    </cfRule>
    <cfRule type="containsText" dxfId="73" priority="69" operator="containsText" text="预警">
      <formula>NOT(ISERROR(SEARCH("预警",Q16)))</formula>
    </cfRule>
  </conditionalFormatting>
  <conditionalFormatting sqref="G16">
    <cfRule type="containsText" dxfId="72" priority="64" operator="containsText" text="注意">
      <formula>NOT(ISERROR(SEARCH("注意",G16)))</formula>
    </cfRule>
    <cfRule type="containsText" dxfId="71" priority="65" operator="containsText" text="延期">
      <formula>NOT(ISERROR(SEARCH("延期",G16)))</formula>
    </cfRule>
    <cfRule type="containsText" dxfId="70" priority="66" operator="containsText" text="预警">
      <formula>NOT(ISERROR(SEARCH("预警",G16)))</formula>
    </cfRule>
  </conditionalFormatting>
  <conditionalFormatting sqref="H16">
    <cfRule type="containsText" dxfId="69" priority="61" operator="containsText" text="注意">
      <formula>NOT(ISERROR(SEARCH("注意",H16)))</formula>
    </cfRule>
    <cfRule type="containsText" dxfId="68" priority="62" operator="containsText" text="延期">
      <formula>NOT(ISERROR(SEARCH("延期",H16)))</formula>
    </cfRule>
    <cfRule type="containsText" dxfId="67" priority="63" operator="containsText" text="预警">
      <formula>NOT(ISERROR(SEARCH("预警",H16)))</formula>
    </cfRule>
  </conditionalFormatting>
  <conditionalFormatting sqref="I16">
    <cfRule type="containsText" dxfId="66" priority="58" operator="containsText" text="注意">
      <formula>NOT(ISERROR(SEARCH("注意",I16)))</formula>
    </cfRule>
    <cfRule type="containsText" dxfId="65" priority="59" operator="containsText" text="延期">
      <formula>NOT(ISERROR(SEARCH("延期",I16)))</formula>
    </cfRule>
    <cfRule type="containsText" dxfId="64" priority="60" operator="containsText" text="预警">
      <formula>NOT(ISERROR(SEARCH("预警",I16)))</formula>
    </cfRule>
  </conditionalFormatting>
  <conditionalFormatting sqref="K16">
    <cfRule type="containsText" dxfId="63" priority="55" operator="containsText" text="注意">
      <formula>NOT(ISERROR(SEARCH("注意",K16)))</formula>
    </cfRule>
    <cfRule type="containsText" dxfId="62" priority="56" operator="containsText" text="延期">
      <formula>NOT(ISERROR(SEARCH("延期",K16)))</formula>
    </cfRule>
    <cfRule type="containsText" dxfId="61" priority="57" operator="containsText" text="预警">
      <formula>NOT(ISERROR(SEARCH("预警",K16)))</formula>
    </cfRule>
  </conditionalFormatting>
  <conditionalFormatting sqref="L16">
    <cfRule type="containsText" dxfId="60" priority="49" operator="containsText" text="注意">
      <formula>NOT(ISERROR(SEARCH("注意",L16)))</formula>
    </cfRule>
    <cfRule type="containsText" dxfId="59" priority="50" operator="containsText" text="延期">
      <formula>NOT(ISERROR(SEARCH("延期",L16)))</formula>
    </cfRule>
    <cfRule type="containsText" dxfId="58" priority="51" operator="containsText" text="预警">
      <formula>NOT(ISERROR(SEARCH("预警",L16)))</formula>
    </cfRule>
  </conditionalFormatting>
  <conditionalFormatting sqref="J16">
    <cfRule type="containsText" dxfId="57" priority="52" operator="containsText" text="注意">
      <formula>NOT(ISERROR(SEARCH("注意",J16)))</formula>
    </cfRule>
    <cfRule type="containsText" dxfId="56" priority="53" operator="containsText" text="延期">
      <formula>NOT(ISERROR(SEARCH("延期",J16)))</formula>
    </cfRule>
    <cfRule type="containsText" dxfId="55" priority="54" operator="containsText" text="预警">
      <formula>NOT(ISERROR(SEARCH("预警",J16)))</formula>
    </cfRule>
  </conditionalFormatting>
  <conditionalFormatting sqref="P16">
    <cfRule type="containsText" dxfId="54" priority="46" operator="containsText" text="注意">
      <formula>NOT(ISERROR(SEARCH("注意",P16)))</formula>
    </cfRule>
    <cfRule type="containsText" dxfId="53" priority="47" operator="containsText" text="延期">
      <formula>NOT(ISERROR(SEARCH("延期",P16)))</formula>
    </cfRule>
    <cfRule type="containsText" dxfId="52" priority="48" operator="containsText" text="预警">
      <formula>NOT(ISERROR(SEARCH("预警",P16)))</formula>
    </cfRule>
  </conditionalFormatting>
  <conditionalFormatting sqref="O16">
    <cfRule type="containsText" dxfId="51" priority="43" operator="containsText" text="注意">
      <formula>NOT(ISERROR(SEARCH("注意",O16)))</formula>
    </cfRule>
    <cfRule type="containsText" dxfId="50" priority="44" operator="containsText" text="延期">
      <formula>NOT(ISERROR(SEARCH("延期",O16)))</formula>
    </cfRule>
    <cfRule type="containsText" dxfId="49" priority="45" operator="containsText" text="预警">
      <formula>NOT(ISERROR(SEARCH("预警",O16)))</formula>
    </cfRule>
  </conditionalFormatting>
  <conditionalFormatting sqref="M16:N16">
    <cfRule type="containsText" dxfId="48" priority="40" operator="containsText" text="注意">
      <formula>NOT(ISERROR(SEARCH("注意",M16)))</formula>
    </cfRule>
    <cfRule type="containsText" dxfId="47" priority="41" operator="containsText" text="延期">
      <formula>NOT(ISERROR(SEARCH("延期",M16)))</formula>
    </cfRule>
    <cfRule type="containsText" dxfId="46" priority="42" operator="containsText" text="预警">
      <formula>NOT(ISERROR(SEARCH("预警",M16)))</formula>
    </cfRule>
  </conditionalFormatting>
  <conditionalFormatting sqref="Q25:T25 L25:O25">
    <cfRule type="containsText" dxfId="45" priority="37" operator="containsText" text="注意">
      <formula>NOT(ISERROR(SEARCH("注意",L25)))</formula>
    </cfRule>
    <cfRule type="containsText" dxfId="44" priority="38" operator="containsText" text="延期">
      <formula>NOT(ISERROR(SEARCH("延期",L25)))</formula>
    </cfRule>
    <cfRule type="containsText" dxfId="43" priority="39" operator="containsText" text="预警">
      <formula>NOT(ISERROR(SEARCH("预警",L25)))</formula>
    </cfRule>
  </conditionalFormatting>
  <conditionalFormatting sqref="P25">
    <cfRule type="containsText" dxfId="42" priority="34" operator="containsText" text="注意">
      <formula>NOT(ISERROR(SEARCH("注意",P25)))</formula>
    </cfRule>
    <cfRule type="containsText" dxfId="41" priority="35" operator="containsText" text="延期">
      <formula>NOT(ISERROR(SEARCH("延期",P25)))</formula>
    </cfRule>
    <cfRule type="containsText" dxfId="40" priority="36" operator="containsText" text="预警">
      <formula>NOT(ISERROR(SEARCH("预警",P25)))</formula>
    </cfRule>
  </conditionalFormatting>
  <conditionalFormatting sqref="L19 Q19:T19 O19">
    <cfRule type="containsText" dxfId="39" priority="31" operator="containsText" text="注意">
      <formula>NOT(ISERROR(SEARCH("注意",L19)))</formula>
    </cfRule>
    <cfRule type="containsText" dxfId="38" priority="32" operator="containsText" text="延期">
      <formula>NOT(ISERROR(SEARCH("延期",L19)))</formula>
    </cfRule>
    <cfRule type="containsText" dxfId="37" priority="33" operator="containsText" text="预警">
      <formula>NOT(ISERROR(SEARCH("预警",L19)))</formula>
    </cfRule>
  </conditionalFormatting>
  <conditionalFormatting sqref="G19">
    <cfRule type="containsText" dxfId="36" priority="28" operator="containsText" text="注意">
      <formula>NOT(ISERROR(SEARCH("注意",G19)))</formula>
    </cfRule>
    <cfRule type="containsText" dxfId="35" priority="29" operator="containsText" text="延期">
      <formula>NOT(ISERROR(SEARCH("延期",G19)))</formula>
    </cfRule>
    <cfRule type="containsText" dxfId="34" priority="30" operator="containsText" text="预警">
      <formula>NOT(ISERROR(SEARCH("预警",G19)))</formula>
    </cfRule>
  </conditionalFormatting>
  <conditionalFormatting sqref="H19">
    <cfRule type="containsText" dxfId="33" priority="25" operator="containsText" text="注意">
      <formula>NOT(ISERROR(SEARCH("注意",H19)))</formula>
    </cfRule>
    <cfRule type="containsText" dxfId="32" priority="26" operator="containsText" text="延期">
      <formula>NOT(ISERROR(SEARCH("延期",H19)))</formula>
    </cfRule>
    <cfRule type="containsText" dxfId="31" priority="27" operator="containsText" text="预警">
      <formula>NOT(ISERROR(SEARCH("预警",H19)))</formula>
    </cfRule>
  </conditionalFormatting>
  <conditionalFormatting sqref="K19">
    <cfRule type="containsText" dxfId="30" priority="19" operator="containsText" text="注意">
      <formula>NOT(ISERROR(SEARCH("注意",K19)))</formula>
    </cfRule>
    <cfRule type="containsText" dxfId="29" priority="20" operator="containsText" text="延期">
      <formula>NOT(ISERROR(SEARCH("延期",K19)))</formula>
    </cfRule>
    <cfRule type="containsText" dxfId="28" priority="21" operator="containsText" text="预警">
      <formula>NOT(ISERROR(SEARCH("预警",K19)))</formula>
    </cfRule>
  </conditionalFormatting>
  <conditionalFormatting sqref="I19">
    <cfRule type="containsText" dxfId="27" priority="22" operator="containsText" text="注意">
      <formula>NOT(ISERROR(SEARCH("注意",I19)))</formula>
    </cfRule>
    <cfRule type="containsText" dxfId="26" priority="23" operator="containsText" text="延期">
      <formula>NOT(ISERROR(SEARCH("延期",I19)))</formula>
    </cfRule>
    <cfRule type="containsText" dxfId="25" priority="24" operator="containsText" text="预警">
      <formula>NOT(ISERROR(SEARCH("预警",I19)))</formula>
    </cfRule>
  </conditionalFormatting>
  <conditionalFormatting sqref="J19">
    <cfRule type="containsText" dxfId="24" priority="16" operator="containsText" text="注意">
      <formula>NOT(ISERROR(SEARCH("注意",J19)))</formula>
    </cfRule>
    <cfRule type="containsText" dxfId="23" priority="17" operator="containsText" text="延期">
      <formula>NOT(ISERROR(SEARCH("延期",J19)))</formula>
    </cfRule>
    <cfRule type="containsText" dxfId="22" priority="18" operator="containsText" text="预警">
      <formula>NOT(ISERROR(SEARCH("预警",J19)))</formula>
    </cfRule>
  </conditionalFormatting>
  <conditionalFormatting sqref="P19">
    <cfRule type="containsText" dxfId="21" priority="13" operator="containsText" text="注意">
      <formula>NOT(ISERROR(SEARCH("注意",P19)))</formula>
    </cfRule>
    <cfRule type="containsText" dxfId="20" priority="14" operator="containsText" text="延期">
      <formula>NOT(ISERROR(SEARCH("延期",P19)))</formula>
    </cfRule>
    <cfRule type="containsText" dxfId="19" priority="15" operator="containsText" text="预警">
      <formula>NOT(ISERROR(SEARCH("预警",P19)))</formula>
    </cfRule>
  </conditionalFormatting>
  <conditionalFormatting sqref="M19:N19">
    <cfRule type="containsText" dxfId="18" priority="10" operator="containsText" text="注意">
      <formula>NOT(ISERROR(SEARCH("注意",M19)))</formula>
    </cfRule>
    <cfRule type="containsText" dxfId="17" priority="11" operator="containsText" text="延期">
      <formula>NOT(ISERROR(SEARCH("延期",M19)))</formula>
    </cfRule>
    <cfRule type="containsText" dxfId="16" priority="12" operator="containsText" text="预警">
      <formula>NOT(ISERROR(SEARCH("预警",M19)))</formula>
    </cfRule>
  </conditionalFormatting>
  <conditionalFormatting sqref="J22 L22:T22">
    <cfRule type="containsText" dxfId="15" priority="7" operator="containsText" text="注意">
      <formula>NOT(ISERROR(SEARCH("注意",J22)))</formula>
    </cfRule>
    <cfRule type="containsText" dxfId="14" priority="8" operator="containsText" text="延期">
      <formula>NOT(ISERROR(SEARCH("延期",J22)))</formula>
    </cfRule>
    <cfRule type="containsText" dxfId="13" priority="9" operator="containsText" text="预警">
      <formula>NOT(ISERROR(SEARCH("预警",J22)))</formula>
    </cfRule>
  </conditionalFormatting>
  <conditionalFormatting sqref="P3">
    <cfRule type="containsText" dxfId="12" priority="4" operator="containsText" text="注意">
      <formula>NOT(ISERROR(SEARCH("注意",P3)))</formula>
    </cfRule>
    <cfRule type="containsText" dxfId="11" priority="5" operator="containsText" text="延期">
      <formula>NOT(ISERROR(SEARCH("延期",P3)))</formula>
    </cfRule>
    <cfRule type="containsText" dxfId="10" priority="6" operator="containsText" text="预警">
      <formula>NOT(ISERROR(SEARCH("预警",P3)))</formula>
    </cfRule>
  </conditionalFormatting>
  <conditionalFormatting sqref="Q6:S6">
    <cfRule type="containsText" dxfId="9" priority="1" operator="containsText" text="注意">
      <formula>NOT(ISERROR(SEARCH("注意",Q6)))</formula>
    </cfRule>
    <cfRule type="containsText" dxfId="8" priority="2" operator="containsText" text="延期">
      <formula>NOT(ISERROR(SEARCH("延期",Q6)))</formula>
    </cfRule>
    <cfRule type="containsText" dxfId="7" priority="3" operator="containsText" text="预警">
      <formula>NOT(ISERROR(SEARCH("预警",Q6)))</formula>
    </cfRule>
  </conditionalFormatting>
  <dataValidations count="2">
    <dataValidation type="list" allowBlank="1" showInputMessage="1" showErrorMessage="1" sqref="E17:E22">
      <formula1>"采购打样,调试,测试,客户样机,资料移交,试产"</formula1>
    </dataValidation>
    <dataValidation type="list" allowBlank="1" showInputMessage="1" showErrorMessage="1" sqref="E23:E25 E1:E16">
      <formula1>"设计开发,采购打样,调试,测试,客户样机,资料移交"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7"/>
  <sheetViews>
    <sheetView topLeftCell="A4" workbookViewId="0">
      <selection activeCell="D6" sqref="D6"/>
    </sheetView>
  </sheetViews>
  <sheetFormatPr defaultRowHeight="20.100000000000001" customHeight="1" x14ac:dyDescent="0.15"/>
  <cols>
    <col min="1" max="1" width="20.625" style="21" customWidth="1"/>
    <col min="2" max="4" width="9" style="21"/>
    <col min="5" max="6" width="9" style="21" customWidth="1"/>
    <col min="7" max="7" width="9" style="24" customWidth="1"/>
    <col min="8" max="8" width="13.75" style="29" customWidth="1"/>
    <col min="9" max="9" width="11.5" style="29" customWidth="1"/>
    <col min="10" max="10" width="11.625" style="24" customWidth="1"/>
    <col min="11" max="12" width="12.125" style="28" customWidth="1"/>
    <col min="13" max="13" width="9.5" style="24" bestFit="1" customWidth="1"/>
    <col min="14" max="16384" width="9" style="21"/>
  </cols>
  <sheetData>
    <row r="1" spans="1:13" ht="20.100000000000001" customHeight="1" x14ac:dyDescent="0.15">
      <c r="A1" s="20" t="s">
        <v>1</v>
      </c>
      <c r="G1" s="31"/>
      <c r="H1" s="30" t="s">
        <v>48</v>
      </c>
      <c r="I1" s="30" t="s">
        <v>49</v>
      </c>
      <c r="K1" s="28" t="s">
        <v>51</v>
      </c>
      <c r="L1" s="28" t="s">
        <v>52</v>
      </c>
      <c r="M1" s="24">
        <v>42736</v>
      </c>
    </row>
    <row r="2" spans="1:13" ht="20.100000000000001" customHeight="1" x14ac:dyDescent="0.15">
      <c r="A2" s="22" t="s">
        <v>65</v>
      </c>
      <c r="G2" s="32" t="s">
        <v>42</v>
      </c>
      <c r="H2" s="27">
        <f ca="1">'查询报表-梁'!C5-$J$1</f>
        <v>43073</v>
      </c>
      <c r="I2" s="27">
        <f ca="1">'查询报表-梁'!C6-$J$1</f>
        <v>43062</v>
      </c>
      <c r="J2" s="29" t="s">
        <v>53</v>
      </c>
      <c r="K2" s="28">
        <f t="shared" ref="K2:L7" ca="1" si="0">H2-$M$1</f>
        <v>337</v>
      </c>
      <c r="L2" s="28">
        <f t="shared" ca="1" si="0"/>
        <v>326</v>
      </c>
    </row>
    <row r="3" spans="1:13" ht="20.100000000000001" customHeight="1" x14ac:dyDescent="0.15">
      <c r="A3" s="22" t="s">
        <v>67</v>
      </c>
      <c r="G3" s="33" t="s">
        <v>43</v>
      </c>
      <c r="H3" s="27">
        <f ca="1">'查询报表-梁'!E5-$J$1</f>
        <v>43091</v>
      </c>
      <c r="I3" s="27">
        <f ca="1">'查询报表-梁'!E6-$J$1</f>
        <v>43062</v>
      </c>
      <c r="J3" s="24" t="s">
        <v>54</v>
      </c>
      <c r="K3" s="28">
        <f t="shared" ca="1" si="0"/>
        <v>355</v>
      </c>
      <c r="L3" s="28">
        <f t="shared" ca="1" si="0"/>
        <v>326</v>
      </c>
    </row>
    <row r="4" spans="1:13" ht="20.100000000000001" customHeight="1" x14ac:dyDescent="0.15">
      <c r="A4" s="22" t="s">
        <v>68</v>
      </c>
      <c r="G4" s="34" t="s">
        <v>44</v>
      </c>
      <c r="H4" s="27">
        <f ca="1">'查询报表-梁'!G5-$J$1</f>
        <v>43096</v>
      </c>
      <c r="I4" s="27">
        <f ca="1">'查询报表-梁'!G6-$J$1</f>
        <v>43062</v>
      </c>
      <c r="J4" s="24" t="s">
        <v>55</v>
      </c>
      <c r="K4" s="28">
        <f t="shared" ca="1" si="0"/>
        <v>360</v>
      </c>
      <c r="L4" s="28">
        <f t="shared" ca="1" si="0"/>
        <v>326</v>
      </c>
    </row>
    <row r="5" spans="1:13" ht="20.100000000000001" customHeight="1" x14ac:dyDescent="0.15">
      <c r="A5" s="22" t="s">
        <v>69</v>
      </c>
      <c r="G5" s="35" t="s">
        <v>45</v>
      </c>
      <c r="H5" s="27">
        <f ca="1">'查询报表-梁'!I5-$J$1</f>
        <v>43110</v>
      </c>
      <c r="I5" s="27">
        <f ca="1">'查询报表-梁'!I6-$J$1</f>
        <v>43062</v>
      </c>
      <c r="J5" s="24" t="s">
        <v>56</v>
      </c>
      <c r="K5" s="28">
        <f t="shared" ca="1" si="0"/>
        <v>374</v>
      </c>
      <c r="L5" s="28">
        <f t="shared" ca="1" si="0"/>
        <v>326</v>
      </c>
    </row>
    <row r="6" spans="1:13" ht="20.100000000000001" customHeight="1" x14ac:dyDescent="0.15">
      <c r="A6" s="22" t="s">
        <v>70</v>
      </c>
      <c r="G6" s="36" t="s">
        <v>46</v>
      </c>
      <c r="H6" s="27">
        <f ca="1">'查询报表-梁'!K5-$J$1</f>
        <v>43126</v>
      </c>
      <c r="I6" s="27">
        <f ca="1">'查询报表-梁'!K6-$J$1</f>
        <v>43062</v>
      </c>
      <c r="J6" s="24" t="s">
        <v>14</v>
      </c>
      <c r="K6" s="28">
        <f t="shared" ca="1" si="0"/>
        <v>390</v>
      </c>
      <c r="L6" s="28">
        <f t="shared" ca="1" si="0"/>
        <v>326</v>
      </c>
    </row>
    <row r="7" spans="1:13" ht="20.100000000000001" customHeight="1" x14ac:dyDescent="0.15">
      <c r="A7" s="22" t="s">
        <v>71</v>
      </c>
      <c r="G7" s="37" t="s">
        <v>47</v>
      </c>
      <c r="H7" s="27">
        <f ca="1">'查询报表-梁'!M5-$J$1</f>
        <v>43129</v>
      </c>
      <c r="I7" s="27" t="e">
        <f ca="1">'查询报表-梁'!M6-$J$1</f>
        <v>#VALUE!</v>
      </c>
      <c r="J7" s="24" t="s">
        <v>57</v>
      </c>
      <c r="K7" s="28">
        <f t="shared" ca="1" si="0"/>
        <v>393</v>
      </c>
      <c r="L7" s="28" t="e">
        <f t="shared" ca="1" si="0"/>
        <v>#VALUE!</v>
      </c>
    </row>
    <row r="8" spans="1:13" ht="20.100000000000001" customHeight="1" x14ac:dyDescent="0.15">
      <c r="A8" s="23" t="s">
        <v>73</v>
      </c>
      <c r="G8" s="37"/>
      <c r="H8" s="27"/>
      <c r="I8" s="27"/>
    </row>
    <row r="9" spans="1:13" ht="20.100000000000001" customHeight="1" x14ac:dyDescent="0.15">
      <c r="A9" s="21" t="s">
        <v>74</v>
      </c>
    </row>
    <row r="10" spans="1:13" ht="20.100000000000001" customHeight="1" x14ac:dyDescent="0.15">
      <c r="A10" s="21" t="s">
        <v>75</v>
      </c>
    </row>
    <row r="11" spans="1:13" ht="20.100000000000001" customHeight="1" x14ac:dyDescent="0.15">
      <c r="A11" s="21" t="s">
        <v>76</v>
      </c>
    </row>
    <row r="12" spans="1:13" ht="20.100000000000001" customHeight="1" x14ac:dyDescent="0.15">
      <c r="A12" s="21" t="s">
        <v>77</v>
      </c>
    </row>
    <row r="13" spans="1:13" ht="20.100000000000001" customHeight="1" x14ac:dyDescent="0.15">
      <c r="A13" s="21" t="s">
        <v>78</v>
      </c>
    </row>
    <row r="14" spans="1:13" ht="20.100000000000001" customHeight="1" x14ac:dyDescent="0.15">
      <c r="A14" s="21" t="s">
        <v>79</v>
      </c>
      <c r="F14" s="21" t="str">
        <f ca="1">INDIRECT("A2:A"&amp;COUNTA(A:A))</f>
        <v>SY-MUBT-88EC-SET</v>
      </c>
    </row>
    <row r="15" spans="1:13" ht="20.100000000000001" customHeight="1" x14ac:dyDescent="0.15">
      <c r="A15" s="21" t="s">
        <v>80</v>
      </c>
    </row>
    <row r="16" spans="1:13" ht="20.100000000000001" customHeight="1" x14ac:dyDescent="0.15">
      <c r="A16" s="21" t="s">
        <v>81</v>
      </c>
    </row>
    <row r="17" spans="1:1" ht="20.100000000000001" customHeight="1" x14ac:dyDescent="0.15">
      <c r="A17" s="21" t="s">
        <v>82</v>
      </c>
    </row>
    <row r="18" spans="1:1" ht="20.100000000000001" customHeight="1" x14ac:dyDescent="0.15">
      <c r="A18" s="21" t="s">
        <v>83</v>
      </c>
    </row>
    <row r="19" spans="1:1" ht="20.100000000000001" customHeight="1" x14ac:dyDescent="0.15">
      <c r="A19" s="21" t="s">
        <v>59</v>
      </c>
    </row>
    <row r="20" spans="1:1" ht="20.100000000000001" customHeight="1" x14ac:dyDescent="0.15">
      <c r="A20" s="21" t="s">
        <v>60</v>
      </c>
    </row>
    <row r="21" spans="1:1" ht="20.100000000000001" customHeight="1" x14ac:dyDescent="0.15">
      <c r="A21" s="21" t="s">
        <v>84</v>
      </c>
    </row>
    <row r="22" spans="1:1" ht="20.100000000000001" customHeight="1" x14ac:dyDescent="0.15">
      <c r="A22" s="21" t="s">
        <v>85</v>
      </c>
    </row>
    <row r="23" spans="1:1" ht="20.100000000000001" customHeight="1" x14ac:dyDescent="0.15">
      <c r="A23" s="21" t="s">
        <v>86</v>
      </c>
    </row>
    <row r="24" spans="1:1" ht="20.100000000000001" customHeight="1" x14ac:dyDescent="0.15">
      <c r="A24" s="21" t="s">
        <v>87</v>
      </c>
    </row>
    <row r="25" spans="1:1" ht="20.100000000000001" customHeight="1" x14ac:dyDescent="0.15">
      <c r="A25" s="21" t="s">
        <v>88</v>
      </c>
    </row>
    <row r="26" spans="1:1" ht="20.100000000000001" customHeight="1" x14ac:dyDescent="0.15">
      <c r="A26" s="21" t="s">
        <v>61</v>
      </c>
    </row>
    <row r="27" spans="1:1" ht="20.100000000000001" customHeight="1" x14ac:dyDescent="0.15">
      <c r="A27" s="21" t="s">
        <v>58</v>
      </c>
    </row>
    <row r="28" spans="1:1" ht="20.100000000000001" customHeight="1" x14ac:dyDescent="0.15">
      <c r="A28" s="21" t="s">
        <v>62</v>
      </c>
    </row>
    <row r="29" spans="1:1" ht="20.100000000000001" customHeight="1" x14ac:dyDescent="0.15">
      <c r="A29" s="21" t="s">
        <v>63</v>
      </c>
    </row>
    <row r="30" spans="1:1" ht="20.100000000000001" customHeight="1" x14ac:dyDescent="0.15">
      <c r="A30" s="21" t="s">
        <v>64</v>
      </c>
    </row>
    <row r="31" spans="1:1" ht="20.100000000000001" customHeight="1" x14ac:dyDescent="0.15">
      <c r="A31" s="21" t="s">
        <v>89</v>
      </c>
    </row>
    <row r="32" spans="1:1" ht="20.100000000000001" customHeight="1" x14ac:dyDescent="0.15">
      <c r="A32" s="21" t="s">
        <v>90</v>
      </c>
    </row>
    <row r="33" spans="1:1" ht="20.100000000000001" customHeight="1" x14ac:dyDescent="0.15">
      <c r="A33" s="21" t="s">
        <v>91</v>
      </c>
    </row>
    <row r="34" spans="1:1" ht="20.100000000000001" customHeight="1" x14ac:dyDescent="0.15">
      <c r="A34" s="21" t="s">
        <v>92</v>
      </c>
    </row>
    <row r="35" spans="1:1" ht="20.100000000000001" customHeight="1" x14ac:dyDescent="0.15">
      <c r="A35" s="21" t="s">
        <v>93</v>
      </c>
    </row>
    <row r="36" spans="1:1" ht="20.100000000000001" customHeight="1" x14ac:dyDescent="0.15">
      <c r="A36" s="21" t="s">
        <v>94</v>
      </c>
    </row>
    <row r="37" spans="1:1" ht="20.100000000000001" customHeight="1" x14ac:dyDescent="0.15">
      <c r="A37" s="21" t="s">
        <v>95</v>
      </c>
    </row>
    <row r="38" spans="1:1" ht="20.100000000000001" customHeight="1" x14ac:dyDescent="0.15">
      <c r="A38" s="21" t="s">
        <v>96</v>
      </c>
    </row>
    <row r="39" spans="1:1" ht="20.100000000000001" customHeight="1" x14ac:dyDescent="0.15">
      <c r="A39" s="21" t="s">
        <v>97</v>
      </c>
    </row>
    <row r="40" spans="1:1" ht="20.100000000000001" customHeight="1" x14ac:dyDescent="0.15">
      <c r="A40" s="21" t="s">
        <v>98</v>
      </c>
    </row>
    <row r="41" spans="1:1" ht="20.100000000000001" customHeight="1" x14ac:dyDescent="0.15">
      <c r="A41" s="21" t="s">
        <v>99</v>
      </c>
    </row>
    <row r="42" spans="1:1" ht="20.100000000000001" customHeight="1" x14ac:dyDescent="0.15">
      <c r="A42" s="21" t="s">
        <v>100</v>
      </c>
    </row>
    <row r="43" spans="1:1" ht="20.100000000000001" customHeight="1" x14ac:dyDescent="0.15">
      <c r="A43" s="21" t="s">
        <v>185</v>
      </c>
    </row>
    <row r="44" spans="1:1" ht="20.100000000000001" customHeight="1" x14ac:dyDescent="0.15">
      <c r="A44" s="21" t="s">
        <v>330</v>
      </c>
    </row>
    <row r="45" spans="1:1" ht="20.100000000000001" customHeight="1" x14ac:dyDescent="0.15">
      <c r="A45" s="21" t="s">
        <v>181</v>
      </c>
    </row>
    <row r="46" spans="1:1" ht="20.100000000000001" customHeight="1" x14ac:dyDescent="0.15">
      <c r="A46" s="21" t="s">
        <v>194</v>
      </c>
    </row>
    <row r="47" spans="1:1" ht="20.100000000000001" customHeight="1" x14ac:dyDescent="0.15">
      <c r="A47" s="21" t="s">
        <v>199</v>
      </c>
    </row>
  </sheetData>
  <sheetProtection algorithmName="SHA-512" hashValue="4FomuB7kTjZxG55pTbLrcB0XzsRBZDswkMgK4/jG3uNl2cfoxdeQjD11IGt5tv6nL4ItQKIZzX6pGoibVlmiEQ==" saltValue="//Vi6yriTsBHq/dh46Slhw==" spinCount="100000" sheet="1" objects="1" scenarios="1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基础数据</vt:lpstr>
      <vt:lpstr>2017年已完成</vt:lpstr>
      <vt:lpstr>自动生成数据表</vt:lpstr>
      <vt:lpstr>查询报表-梁</vt:lpstr>
      <vt:lpstr>原始计划项目存档</vt:lpstr>
      <vt:lpstr>项目基础资料-梁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2017-11-23T09:20:49Z</dcterms:modified>
</cp:coreProperties>
</file>